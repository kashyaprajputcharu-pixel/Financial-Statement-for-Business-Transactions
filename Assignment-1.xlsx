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lsh\OneDrive\Desktop\"/>
    </mc:Choice>
  </mc:AlternateContent>
  <bookViews>
    <workbookView xWindow="0" yWindow="0" windowWidth="23040" windowHeight="9192"/>
  </bookViews>
  <sheets>
    <sheet name="Summary" sheetId="8" r:id="rId1"/>
    <sheet name="Journal" sheetId="1" r:id="rId2"/>
    <sheet name="Adjustments" sheetId="3" r:id="rId3"/>
    <sheet name="Ledger" sheetId="2" r:id="rId4"/>
    <sheet name="Trial Balance" sheetId="4" r:id="rId5"/>
    <sheet name="Trading Account" sheetId="5" r:id="rId6"/>
    <sheet name="Profit And Loss Account" sheetId="6" r:id="rId7"/>
    <sheet name="Balance Sheet" sheetId="7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6" l="1"/>
  <c r="B11" i="6"/>
  <c r="D7" i="5"/>
  <c r="B7" i="5"/>
  <c r="D12" i="7"/>
  <c r="B12" i="7" l="1"/>
  <c r="E26" i="4"/>
  <c r="D26" i="4"/>
  <c r="C20" i="2"/>
  <c r="R43" i="2"/>
  <c r="M45" i="2"/>
  <c r="H42" i="2"/>
  <c r="C41" i="2"/>
  <c r="M38" i="2"/>
  <c r="R36" i="2"/>
  <c r="M31" i="2"/>
  <c r="R29" i="2"/>
  <c r="H35" i="2"/>
  <c r="C34" i="2"/>
  <c r="R22" i="2"/>
  <c r="H28" i="2"/>
  <c r="C27" i="2"/>
  <c r="R15" i="2"/>
  <c r="M24" i="2"/>
  <c r="M16" i="2"/>
  <c r="R8" i="2"/>
  <c r="H21" i="2"/>
  <c r="H14" i="2"/>
  <c r="H7" i="2"/>
  <c r="M8" i="2"/>
  <c r="F11" i="3"/>
  <c r="E11" i="3"/>
  <c r="F41" i="1"/>
  <c r="E41" i="1"/>
</calcChain>
</file>

<file path=xl/sharedStrings.xml><?xml version="1.0" encoding="utf-8"?>
<sst xmlns="http://schemas.openxmlformats.org/spreadsheetml/2006/main" count="430" uniqueCount="150">
  <si>
    <t>Date</t>
  </si>
  <si>
    <t>Particulars</t>
  </si>
  <si>
    <t>L.F.</t>
  </si>
  <si>
    <t>Journal Entries (September 2026)</t>
  </si>
  <si>
    <t xml:space="preserve">               To Cash A/c</t>
  </si>
  <si>
    <t>Cash A/c  Dr</t>
  </si>
  <si>
    <t>Purchases A/c  Dr</t>
  </si>
  <si>
    <t>Furniture A/c   Dr</t>
  </si>
  <si>
    <t>Cash A/c  Dr.</t>
  </si>
  <si>
    <t>Rent A/c  Dr</t>
  </si>
  <si>
    <t>Salary A/c Dr</t>
  </si>
  <si>
    <t>Cash A/c Dr</t>
  </si>
  <si>
    <t>Rohan Dr</t>
  </si>
  <si>
    <t>Neha Dr</t>
  </si>
  <si>
    <t>Carriage Inward A/c Dr</t>
  </si>
  <si>
    <t>Drawings A/c Dr</t>
  </si>
  <si>
    <t>Bank A/c  Dr</t>
  </si>
  <si>
    <t xml:space="preserve">              To Cash A/c</t>
  </si>
  <si>
    <t>Electricity  A/c  Dr</t>
  </si>
  <si>
    <t>Total</t>
  </si>
  <si>
    <t>Debit(₹)</t>
  </si>
  <si>
    <t>Credit(₹)</t>
  </si>
  <si>
    <t>Dr.(₹)</t>
  </si>
  <si>
    <t>Cr.(₹)</t>
  </si>
  <si>
    <t>Cash A/c</t>
  </si>
  <si>
    <t>Capital A/c</t>
  </si>
  <si>
    <t xml:space="preserve">Bank A/c </t>
  </si>
  <si>
    <t>Purchases A/c</t>
  </si>
  <si>
    <t>Furniture A/c</t>
  </si>
  <si>
    <t>Sales A/c</t>
  </si>
  <si>
    <t>Rent A/c</t>
  </si>
  <si>
    <t>Salary A/c</t>
  </si>
  <si>
    <t xml:space="preserve">Amar </t>
  </si>
  <si>
    <t>Salaries A/c</t>
  </si>
  <si>
    <t xml:space="preserve">Rohan </t>
  </si>
  <si>
    <t>Electricity</t>
  </si>
  <si>
    <t>Electricity A/c</t>
  </si>
  <si>
    <t xml:space="preserve">Neha </t>
  </si>
  <si>
    <t>Carriage Inward A/c</t>
  </si>
  <si>
    <t>Drawings A/c</t>
  </si>
  <si>
    <t>Advertising Exp A/c</t>
  </si>
  <si>
    <t>Closing Balance</t>
  </si>
  <si>
    <t xml:space="preserve">Particulars </t>
  </si>
  <si>
    <t>Adjustment Entries (September 2026)</t>
  </si>
  <si>
    <t>Depreciation A/c Dr</t>
  </si>
  <si>
    <t xml:space="preserve">                To Accumulated Depreciation A/c </t>
  </si>
  <si>
    <t xml:space="preserve">                To Outstanding Salary A/c</t>
  </si>
  <si>
    <t>Prepaid Rent A/c Dr</t>
  </si>
  <si>
    <t>Closing Stock A/c Dr</t>
  </si>
  <si>
    <t>Dr(₹)</t>
  </si>
  <si>
    <t>Cr(₹)</t>
  </si>
  <si>
    <t>Bank A/c</t>
  </si>
  <si>
    <t xml:space="preserve"> Rent A/c</t>
  </si>
  <si>
    <t>Prepaid Rent A/c</t>
  </si>
  <si>
    <t>Rohan</t>
  </si>
  <si>
    <t>Mohan</t>
  </si>
  <si>
    <t>Amar</t>
  </si>
  <si>
    <t>Neha</t>
  </si>
  <si>
    <t>Outstanding Salary</t>
  </si>
  <si>
    <t>Rohan A/c</t>
  </si>
  <si>
    <t xml:space="preserve"> Amar A/c</t>
  </si>
  <si>
    <t>Mohan A/c</t>
  </si>
  <si>
    <t>Neha A/c</t>
  </si>
  <si>
    <t>Advertising A/c</t>
  </si>
  <si>
    <t>Ledger Accounts</t>
  </si>
  <si>
    <t>Outstanding Salary A/c</t>
  </si>
  <si>
    <t>Depreciation A/c</t>
  </si>
  <si>
    <t xml:space="preserve">Accumulated Depreciation A/c </t>
  </si>
  <si>
    <t>Accumulated Depreciation A/c</t>
  </si>
  <si>
    <t xml:space="preserve">Depreciation A/c </t>
  </si>
  <si>
    <t>Closing Stock A/c</t>
  </si>
  <si>
    <t>Trading A/c</t>
  </si>
  <si>
    <t>S.No.</t>
  </si>
  <si>
    <t>Account Name</t>
  </si>
  <si>
    <t>Trial Balance (30 September 2026)</t>
  </si>
  <si>
    <t xml:space="preserve">Purchases </t>
  </si>
  <si>
    <t xml:space="preserve">Cash </t>
  </si>
  <si>
    <t xml:space="preserve">Bank </t>
  </si>
  <si>
    <t>Furniture</t>
  </si>
  <si>
    <t>Rent</t>
  </si>
  <si>
    <t>Salary</t>
  </si>
  <si>
    <t>Carriage Inward</t>
  </si>
  <si>
    <t>Advertising</t>
  </si>
  <si>
    <t>Depreciation</t>
  </si>
  <si>
    <t>Drawings</t>
  </si>
  <si>
    <t>Prepaid Rent</t>
  </si>
  <si>
    <t>Closing Stock</t>
  </si>
  <si>
    <t>Capital</t>
  </si>
  <si>
    <t>Sales</t>
  </si>
  <si>
    <t>Accumulated Depreciation</t>
  </si>
  <si>
    <t>Trading A/c (closing stock)</t>
  </si>
  <si>
    <t>To Purchases</t>
  </si>
  <si>
    <t>By Sales</t>
  </si>
  <si>
    <t>To Carriage Inward</t>
  </si>
  <si>
    <t>By Closing Stock</t>
  </si>
  <si>
    <t>To Gross Profit c/d</t>
  </si>
  <si>
    <t xml:space="preserve"> Particulars</t>
  </si>
  <si>
    <t>To Rent</t>
  </si>
  <si>
    <t>By Gross Profit b/d</t>
  </si>
  <si>
    <t>To Salary</t>
  </si>
  <si>
    <t>To Electricity</t>
  </si>
  <si>
    <t>To Stationery</t>
  </si>
  <si>
    <t>To Advertising</t>
  </si>
  <si>
    <t>To Depreciation</t>
  </si>
  <si>
    <t>To Net Profit</t>
  </si>
  <si>
    <t>Profit And Loss Account</t>
  </si>
  <si>
    <t>(For the period ended 30 September 2026)</t>
  </si>
  <si>
    <t xml:space="preserve">Trading Account </t>
  </si>
  <si>
    <t>Liabilities</t>
  </si>
  <si>
    <t>Amount (₹)</t>
  </si>
  <si>
    <t>Add: Net Profit</t>
  </si>
  <si>
    <t>Assets</t>
  </si>
  <si>
    <t>Cash</t>
  </si>
  <si>
    <t>Bank</t>
  </si>
  <si>
    <t>Less: Accumulated Depreciation</t>
  </si>
  <si>
    <t>Total Liabilities</t>
  </si>
  <si>
    <t>Total Assets</t>
  </si>
  <si>
    <t>Balance Sheet</t>
  </si>
  <si>
    <t xml:space="preserve">Less: Drawings   </t>
  </si>
  <si>
    <t>-</t>
  </si>
  <si>
    <t>Key Financial Figures</t>
  </si>
  <si>
    <t>Total Sales</t>
  </si>
  <si>
    <t>Total Purchases</t>
  </si>
  <si>
    <t>Gross Profit</t>
  </si>
  <si>
    <t>Net Profit</t>
  </si>
  <si>
    <t>Financial Position</t>
  </si>
  <si>
    <t xml:space="preserve">Total Assets </t>
  </si>
  <si>
    <t>Trial Balance Status</t>
  </si>
  <si>
    <t>Total Debit = Total Credit ( ₹ 2,00,083.33)</t>
  </si>
  <si>
    <t>Debtors</t>
  </si>
  <si>
    <t>Net Furniture</t>
  </si>
  <si>
    <t xml:space="preserve">Major Assets </t>
  </si>
  <si>
    <t xml:space="preserve">XYZ Traders </t>
  </si>
  <si>
    <t>Financial Summary ( September 2026)</t>
  </si>
  <si>
    <t xml:space="preserve">               To Capital A/c</t>
  </si>
  <si>
    <t xml:space="preserve">              To Rohan</t>
  </si>
  <si>
    <t xml:space="preserve">               To Sales A/c</t>
  </si>
  <si>
    <t>Amar  Dr</t>
  </si>
  <si>
    <t xml:space="preserve">               To Amar</t>
  </si>
  <si>
    <t xml:space="preserve">               To Cash A/c </t>
  </si>
  <si>
    <t xml:space="preserve">               To Mohan</t>
  </si>
  <si>
    <t xml:space="preserve">               To Sales A/c </t>
  </si>
  <si>
    <t>Stationery A/c Dr</t>
  </si>
  <si>
    <t xml:space="preserve">               To Neha </t>
  </si>
  <si>
    <t>Advertising A/c Dr</t>
  </si>
  <si>
    <t xml:space="preserve">                To Rent A/c</t>
  </si>
  <si>
    <t xml:space="preserve">                To Trading A/c</t>
  </si>
  <si>
    <t>Stationery A/c</t>
  </si>
  <si>
    <t>Stationery</t>
  </si>
  <si>
    <t>(As on 30 September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</si>
</sst>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&quot;₹&quot;\ 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900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/>
    <xf numFmtId="16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6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3" fontId="0" fillId="0" borderId="1" xfId="0" applyNumberFormat="1" applyBorder="1"/>
    <xf numFmtId="4" fontId="0" fillId="0" borderId="1" xfId="0" applyNumberFormat="1" applyBorder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Fill="1" applyBorder="1"/>
    <xf numFmtId="16" fontId="0" fillId="0" borderId="1" xfId="0" applyNumberFormat="1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top"/>
    </xf>
    <xf numFmtId="164" fontId="5" fillId="3" borderId="1" xfId="0" applyNumberFormat="1" applyFont="1" applyFill="1" applyBorder="1" applyAlignment="1">
      <alignment horizontal="right" vertical="center" wrapText="1"/>
    </xf>
    <xf numFmtId="0" fontId="10" fillId="4" borderId="3" xfId="0" applyFont="1" applyFill="1" applyBorder="1" applyAlignment="1">
      <alignment horizontal="left" vertical="center"/>
    </xf>
    <xf numFmtId="0" fontId="10" fillId="4" borderId="9" xfId="0" applyFont="1" applyFill="1" applyBorder="1" applyAlignment="1">
      <alignment horizontal="left" vertical="center"/>
    </xf>
    <xf numFmtId="0" fontId="0" fillId="0" borderId="0" xfId="0" applyFill="1"/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0" fontId="11" fillId="0" borderId="1" xfId="0" applyFont="1" applyFill="1" applyBorder="1" applyAlignment="1">
      <alignment horizontal="left" vertical="top"/>
    </xf>
    <xf numFmtId="0" fontId="11" fillId="0" borderId="1" xfId="0" applyFont="1" applyFill="1" applyBorder="1" applyAlignment="1">
      <alignment vertical="top"/>
    </xf>
    <xf numFmtId="0" fontId="11" fillId="0" borderId="1" xfId="0" applyFont="1" applyFill="1" applyBorder="1"/>
    <xf numFmtId="164" fontId="5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64" fontId="15" fillId="3" borderId="1" xfId="0" applyNumberFormat="1" applyFont="1" applyFill="1" applyBorder="1"/>
    <xf numFmtId="164" fontId="16" fillId="3" borderId="1" xfId="0" applyNumberFormat="1" applyFont="1" applyFill="1" applyBorder="1" applyAlignment="1">
      <alignment horizontal="right" vertical="center" wrapText="1"/>
    </xf>
    <xf numFmtId="0" fontId="9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0" fillId="4" borderId="3" xfId="0" applyFont="1" applyFill="1" applyBorder="1" applyAlignment="1">
      <alignment horizontal="left" vertical="center"/>
    </xf>
    <xf numFmtId="0" fontId="10" fillId="4" borderId="9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/>
    </xf>
    <xf numFmtId="43" fontId="4" fillId="3" borderId="1" xfId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C99FF"/>
      <color rgb="FF9900CC"/>
      <color rgb="FFCC66FF"/>
      <color rgb="FFCCCCFF"/>
      <color rgb="FFFFCCCC"/>
      <color rgb="FFFF9999"/>
      <color rgb="FFFF5050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Financial Position (₹)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Summary!$B$10:$B$11</c:f>
              <c:strCache>
                <c:ptCount val="2"/>
                <c:pt idx="0">
                  <c:v>Major Assets </c:v>
                </c:pt>
                <c:pt idx="1">
                  <c:v>Amount (₹)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Summary!$A$12:$A$17</c:f>
              <c:strCache>
                <c:ptCount val="6"/>
                <c:pt idx="0">
                  <c:v>Cash</c:v>
                </c:pt>
                <c:pt idx="1">
                  <c:v>Bank</c:v>
                </c:pt>
                <c:pt idx="2">
                  <c:v>Debtors</c:v>
                </c:pt>
                <c:pt idx="3">
                  <c:v>Prepaid Rent</c:v>
                </c:pt>
                <c:pt idx="4">
                  <c:v>Closing Stock</c:v>
                </c:pt>
                <c:pt idx="5">
                  <c:v>Net Furniture</c:v>
                </c:pt>
              </c:strCache>
            </c:strRef>
          </c:cat>
          <c:val>
            <c:numRef>
              <c:f>Summary!$B$12:$B$17</c:f>
              <c:numCache>
                <c:formatCode>"₹"\ #,##0.00</c:formatCode>
                <c:ptCount val="6"/>
                <c:pt idx="0">
                  <c:v>42000</c:v>
                </c:pt>
                <c:pt idx="1">
                  <c:v>40000</c:v>
                </c:pt>
                <c:pt idx="2">
                  <c:v>20000</c:v>
                </c:pt>
                <c:pt idx="3">
                  <c:v>1000</c:v>
                </c:pt>
                <c:pt idx="4">
                  <c:v>15000</c:v>
                </c:pt>
                <c:pt idx="5">
                  <c:v>9916.67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9-49BB-B2C6-FDD13B8D9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7175599"/>
        <c:axId val="1917175183"/>
      </c:barChart>
      <c:catAx>
        <c:axId val="191717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175183"/>
        <c:crosses val="autoZero"/>
        <c:auto val="1"/>
        <c:lblAlgn val="ctr"/>
        <c:lblOffset val="100"/>
        <c:noMultiLvlLbl val="0"/>
      </c:catAx>
      <c:valAx>
        <c:axId val="191717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17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7620</xdr:rowOff>
    </xdr:from>
    <xdr:to>
      <xdr:col>5</xdr:col>
      <xdr:colOff>0</xdr:colOff>
      <xdr:row>11</xdr:row>
      <xdr:rowOff>144780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showGridLines="0" tabSelected="1" workbookViewId="0">
      <selection activeCell="H11" sqref="H11"/>
    </sheetView>
  </sheetViews>
  <sheetFormatPr defaultRowHeight="14.4" x14ac:dyDescent="0.3"/>
  <cols>
    <col min="1" max="1" width="37.21875" customWidth="1"/>
    <col min="2" max="2" width="22" customWidth="1"/>
    <col min="3" max="3" width="3.44140625" customWidth="1"/>
    <col min="4" max="4" width="30.109375" customWidth="1"/>
    <col min="5" max="5" width="42.33203125" customWidth="1"/>
    <col min="12" max="12" width="18.109375" customWidth="1"/>
    <col min="13" max="13" width="16.88671875" customWidth="1"/>
  </cols>
  <sheetData>
    <row r="1" spans="1:5" ht="34.200000000000003" customHeight="1" x14ac:dyDescent="0.3">
      <c r="A1" s="51" t="s">
        <v>132</v>
      </c>
      <c r="B1" s="52"/>
      <c r="C1" s="52"/>
      <c r="D1" s="52"/>
      <c r="E1" s="52"/>
    </row>
    <row r="2" spans="1:5" ht="20.399999999999999" customHeight="1" x14ac:dyDescent="0.3">
      <c r="A2" s="53" t="s">
        <v>133</v>
      </c>
      <c r="B2" s="53"/>
      <c r="C2" s="53"/>
      <c r="D2" s="53"/>
      <c r="E2" s="53"/>
    </row>
    <row r="3" spans="1:5" s="38" customFormat="1" ht="12.6" customHeight="1" x14ac:dyDescent="0.3">
      <c r="A3" s="54"/>
      <c r="B3" s="54"/>
      <c r="C3" s="54"/>
      <c r="D3" s="54"/>
      <c r="E3" s="54"/>
    </row>
    <row r="4" spans="1:5" ht="25.8" customHeight="1" x14ac:dyDescent="0.3">
      <c r="A4" s="59" t="s">
        <v>120</v>
      </c>
      <c r="B4" s="60"/>
      <c r="C4" s="55"/>
    </row>
    <row r="5" spans="1:5" ht="24.6" customHeight="1" x14ac:dyDescent="0.3">
      <c r="A5" s="7" t="s">
        <v>121</v>
      </c>
      <c r="B5" s="49">
        <v>63000</v>
      </c>
      <c r="C5" s="55"/>
    </row>
    <row r="6" spans="1:5" ht="24.6" customHeight="1" x14ac:dyDescent="0.3">
      <c r="A6" s="7" t="s">
        <v>122</v>
      </c>
      <c r="B6" s="49">
        <v>47000</v>
      </c>
      <c r="C6" s="55"/>
    </row>
    <row r="7" spans="1:5" ht="24.6" customHeight="1" x14ac:dyDescent="0.3">
      <c r="A7" s="7" t="s">
        <v>123</v>
      </c>
      <c r="B7" s="49">
        <v>30000</v>
      </c>
      <c r="C7" s="55"/>
    </row>
    <row r="8" spans="1:5" ht="24" customHeight="1" x14ac:dyDescent="0.3">
      <c r="A8" s="7" t="s">
        <v>124</v>
      </c>
      <c r="B8" s="49">
        <v>9916.67</v>
      </c>
      <c r="C8" s="55"/>
    </row>
    <row r="9" spans="1:5" x14ac:dyDescent="0.3">
      <c r="C9" s="55"/>
    </row>
    <row r="10" spans="1:5" ht="27" customHeight="1" x14ac:dyDescent="0.3">
      <c r="A10" s="63" t="s">
        <v>131</v>
      </c>
      <c r="B10" s="63"/>
      <c r="C10" s="55"/>
    </row>
    <row r="11" spans="1:5" ht="25.8" customHeight="1" x14ac:dyDescent="0.3">
      <c r="A11" s="39" t="s">
        <v>1</v>
      </c>
      <c r="B11" s="40" t="s">
        <v>109</v>
      </c>
      <c r="C11" s="55"/>
    </row>
    <row r="12" spans="1:5" ht="27" customHeight="1" x14ac:dyDescent="0.3">
      <c r="A12" s="21" t="s">
        <v>112</v>
      </c>
      <c r="B12" s="41">
        <v>42000</v>
      </c>
      <c r="C12" s="55"/>
      <c r="D12" s="57"/>
      <c r="E12" s="57"/>
    </row>
    <row r="13" spans="1:5" ht="21" customHeight="1" x14ac:dyDescent="0.3">
      <c r="A13" s="21" t="s">
        <v>113</v>
      </c>
      <c r="B13" s="41">
        <v>40000</v>
      </c>
      <c r="C13" s="55"/>
      <c r="D13" s="59" t="s">
        <v>127</v>
      </c>
      <c r="E13" s="60"/>
    </row>
    <row r="14" spans="1:5" ht="26.4" customHeight="1" x14ac:dyDescent="0.3">
      <c r="A14" s="21" t="s">
        <v>129</v>
      </c>
      <c r="B14" s="41">
        <v>20000</v>
      </c>
      <c r="C14" s="55"/>
      <c r="D14" s="61" t="s">
        <v>128</v>
      </c>
      <c r="E14" s="62"/>
    </row>
    <row r="15" spans="1:5" ht="24.6" customHeight="1" x14ac:dyDescent="0.3">
      <c r="A15" s="21" t="s">
        <v>85</v>
      </c>
      <c r="B15" s="41">
        <v>1000</v>
      </c>
      <c r="C15" s="55"/>
      <c r="D15" s="56"/>
      <c r="E15" s="56"/>
    </row>
    <row r="16" spans="1:5" ht="26.4" customHeight="1" x14ac:dyDescent="0.3">
      <c r="A16" s="21" t="s">
        <v>86</v>
      </c>
      <c r="B16" s="41">
        <v>15000</v>
      </c>
      <c r="C16" s="55"/>
      <c r="D16" s="36" t="s">
        <v>125</v>
      </c>
      <c r="E16" s="37"/>
    </row>
    <row r="17" spans="1:5" ht="24.6" customHeight="1" x14ac:dyDescent="0.3">
      <c r="A17" s="21" t="s">
        <v>130</v>
      </c>
      <c r="B17" s="41">
        <v>9916.67</v>
      </c>
      <c r="C17" s="55"/>
      <c r="D17" s="7" t="s">
        <v>126</v>
      </c>
      <c r="E17" s="50">
        <v>127916.67</v>
      </c>
    </row>
    <row r="18" spans="1:5" ht="27" customHeight="1" x14ac:dyDescent="0.3">
      <c r="A18" s="58"/>
      <c r="B18" s="58"/>
      <c r="C18" s="55"/>
      <c r="D18" s="7" t="s">
        <v>115</v>
      </c>
      <c r="E18" s="49">
        <v>22000</v>
      </c>
    </row>
  </sheetData>
  <mergeCells count="11">
    <mergeCell ref="A1:E1"/>
    <mergeCell ref="A2:E2"/>
    <mergeCell ref="A3:E3"/>
    <mergeCell ref="C4:C18"/>
    <mergeCell ref="D15:E15"/>
    <mergeCell ref="D12:E12"/>
    <mergeCell ref="A18:B18"/>
    <mergeCell ref="A4:B4"/>
    <mergeCell ref="D14:E14"/>
    <mergeCell ref="A10:B10"/>
    <mergeCell ref="D13:E1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opLeftCell="A14" workbookViewId="0">
      <selection activeCell="G43" sqref="G43"/>
    </sheetView>
  </sheetViews>
  <sheetFormatPr defaultRowHeight="14.4" x14ac:dyDescent="0.3"/>
  <cols>
    <col min="1" max="1" width="4.21875" style="1" customWidth="1"/>
    <col min="2" max="2" width="7" customWidth="1"/>
    <col min="3" max="3" width="33.5546875" style="4" customWidth="1"/>
    <col min="4" max="4" width="5" style="1" customWidth="1"/>
    <col min="5" max="5" width="11.77734375" style="2" customWidth="1"/>
    <col min="6" max="6" width="12.44140625" style="2" customWidth="1"/>
  </cols>
  <sheetData>
    <row r="1" spans="1:6" ht="30" customHeight="1" x14ac:dyDescent="0.3">
      <c r="A1" s="65" t="s">
        <v>3</v>
      </c>
      <c r="B1" s="65"/>
      <c r="C1" s="65"/>
      <c r="D1" s="65"/>
      <c r="E1" s="65"/>
      <c r="F1" s="65"/>
    </row>
    <row r="2" spans="1:6" s="3" customFormat="1" ht="26.4" customHeight="1" x14ac:dyDescent="0.3">
      <c r="A2" s="64" t="s">
        <v>0</v>
      </c>
      <c r="B2" s="64"/>
      <c r="C2" s="17" t="s">
        <v>1</v>
      </c>
      <c r="D2" s="17" t="s">
        <v>2</v>
      </c>
      <c r="E2" s="17" t="s">
        <v>20</v>
      </c>
      <c r="F2" s="17" t="s">
        <v>21</v>
      </c>
    </row>
    <row r="3" spans="1:6" s="2" customFormat="1" ht="16.2" customHeight="1" x14ac:dyDescent="0.3">
      <c r="A3" s="31">
        <v>1</v>
      </c>
      <c r="B3" s="32">
        <v>46266</v>
      </c>
      <c r="C3" s="33" t="s">
        <v>5</v>
      </c>
      <c r="D3" s="31" t="s">
        <v>119</v>
      </c>
      <c r="E3" s="31">
        <v>100000</v>
      </c>
      <c r="F3" s="31"/>
    </row>
    <row r="4" spans="1:6" ht="15" customHeight="1" x14ac:dyDescent="0.3">
      <c r="A4" s="30"/>
      <c r="B4" s="28"/>
      <c r="C4" s="33" t="s">
        <v>134</v>
      </c>
      <c r="D4" s="30" t="s">
        <v>119</v>
      </c>
      <c r="E4" s="31"/>
      <c r="F4" s="31">
        <v>100000</v>
      </c>
    </row>
    <row r="5" spans="1:6" x14ac:dyDescent="0.3">
      <c r="A5" s="30">
        <v>2</v>
      </c>
      <c r="B5" s="29">
        <v>46267</v>
      </c>
      <c r="C5" s="33" t="s">
        <v>16</v>
      </c>
      <c r="D5" s="30" t="s">
        <v>119</v>
      </c>
      <c r="E5" s="31">
        <v>40000</v>
      </c>
      <c r="F5" s="31"/>
    </row>
    <row r="6" spans="1:6" x14ac:dyDescent="0.3">
      <c r="A6" s="30"/>
      <c r="B6" s="28"/>
      <c r="C6" s="33" t="s">
        <v>17</v>
      </c>
      <c r="D6" s="30" t="s">
        <v>119</v>
      </c>
      <c r="E6" s="31"/>
      <c r="F6" s="31">
        <v>40000</v>
      </c>
    </row>
    <row r="7" spans="1:6" x14ac:dyDescent="0.3">
      <c r="A7" s="30">
        <v>3</v>
      </c>
      <c r="B7" s="29">
        <v>46268</v>
      </c>
      <c r="C7" s="34" t="s">
        <v>6</v>
      </c>
      <c r="D7" s="30" t="s">
        <v>119</v>
      </c>
      <c r="E7" s="31">
        <v>20000</v>
      </c>
      <c r="F7" s="31"/>
    </row>
    <row r="8" spans="1:6" x14ac:dyDescent="0.3">
      <c r="A8" s="30"/>
      <c r="B8" s="28"/>
      <c r="C8" s="33" t="s">
        <v>17</v>
      </c>
      <c r="D8" s="30" t="s">
        <v>119</v>
      </c>
      <c r="E8" s="31"/>
      <c r="F8" s="31">
        <v>20000</v>
      </c>
    </row>
    <row r="9" spans="1:6" x14ac:dyDescent="0.3">
      <c r="A9" s="30">
        <v>4</v>
      </c>
      <c r="B9" s="29">
        <v>46270</v>
      </c>
      <c r="C9" s="33" t="s">
        <v>6</v>
      </c>
      <c r="D9" s="30" t="s">
        <v>119</v>
      </c>
      <c r="E9" s="31">
        <v>15000</v>
      </c>
      <c r="F9" s="31"/>
    </row>
    <row r="10" spans="1:6" x14ac:dyDescent="0.3">
      <c r="A10" s="30"/>
      <c r="B10" s="28"/>
      <c r="C10" s="33" t="s">
        <v>135</v>
      </c>
      <c r="D10" s="30" t="s">
        <v>119</v>
      </c>
      <c r="E10" s="31"/>
      <c r="F10" s="31">
        <v>15000</v>
      </c>
    </row>
    <row r="11" spans="1:6" x14ac:dyDescent="0.3">
      <c r="A11" s="30">
        <v>5</v>
      </c>
      <c r="B11" s="29">
        <v>46272</v>
      </c>
      <c r="C11" s="33" t="s">
        <v>7</v>
      </c>
      <c r="D11" s="30" t="s">
        <v>119</v>
      </c>
      <c r="E11" s="31">
        <v>10000</v>
      </c>
      <c r="F11" s="31"/>
    </row>
    <row r="12" spans="1:6" x14ac:dyDescent="0.3">
      <c r="A12" s="30"/>
      <c r="B12" s="28"/>
      <c r="C12" s="33" t="s">
        <v>17</v>
      </c>
      <c r="D12" s="30" t="s">
        <v>119</v>
      </c>
      <c r="E12" s="31"/>
      <c r="F12" s="31">
        <v>10000</v>
      </c>
    </row>
    <row r="13" spans="1:6" x14ac:dyDescent="0.3">
      <c r="A13" s="30">
        <v>6</v>
      </c>
      <c r="B13" s="29">
        <v>46275</v>
      </c>
      <c r="C13" s="33" t="s">
        <v>8</v>
      </c>
      <c r="D13" s="30" t="s">
        <v>119</v>
      </c>
      <c r="E13" s="31">
        <v>25000</v>
      </c>
      <c r="F13" s="31"/>
    </row>
    <row r="14" spans="1:6" x14ac:dyDescent="0.3">
      <c r="A14" s="30"/>
      <c r="B14" s="28"/>
      <c r="C14" s="33" t="s">
        <v>136</v>
      </c>
      <c r="D14" s="30" t="s">
        <v>119</v>
      </c>
      <c r="E14" s="31"/>
      <c r="F14" s="31">
        <v>25000</v>
      </c>
    </row>
    <row r="15" spans="1:6" x14ac:dyDescent="0.3">
      <c r="A15" s="30">
        <v>7</v>
      </c>
      <c r="B15" s="29">
        <v>46277</v>
      </c>
      <c r="C15" s="33" t="s">
        <v>137</v>
      </c>
      <c r="D15" s="30" t="s">
        <v>119</v>
      </c>
      <c r="E15" s="31">
        <v>20000</v>
      </c>
      <c r="F15" s="31"/>
    </row>
    <row r="16" spans="1:6" x14ac:dyDescent="0.3">
      <c r="A16" s="30"/>
      <c r="B16" s="28"/>
      <c r="C16" s="33" t="s">
        <v>136</v>
      </c>
      <c r="D16" s="30" t="s">
        <v>119</v>
      </c>
      <c r="E16" s="31"/>
      <c r="F16" s="31">
        <v>20000</v>
      </c>
    </row>
    <row r="17" spans="1:6" x14ac:dyDescent="0.3">
      <c r="A17" s="30">
        <v>8</v>
      </c>
      <c r="B17" s="29">
        <v>46280</v>
      </c>
      <c r="C17" s="33" t="s">
        <v>9</v>
      </c>
      <c r="D17" s="30" t="s">
        <v>119</v>
      </c>
      <c r="E17" s="31">
        <v>5000</v>
      </c>
      <c r="F17" s="31"/>
    </row>
    <row r="18" spans="1:6" x14ac:dyDescent="0.3">
      <c r="A18" s="30"/>
      <c r="B18" s="28"/>
      <c r="C18" s="33" t="s">
        <v>4</v>
      </c>
      <c r="D18" s="30" t="s">
        <v>119</v>
      </c>
      <c r="E18" s="31"/>
      <c r="F18" s="31">
        <v>5000</v>
      </c>
    </row>
    <row r="19" spans="1:6" x14ac:dyDescent="0.3">
      <c r="A19" s="30">
        <v>9</v>
      </c>
      <c r="B19" s="29">
        <v>46282</v>
      </c>
      <c r="C19" s="33" t="s">
        <v>10</v>
      </c>
      <c r="D19" s="30" t="s">
        <v>119</v>
      </c>
      <c r="E19" s="31">
        <v>8000</v>
      </c>
      <c r="F19" s="31"/>
    </row>
    <row r="20" spans="1:6" x14ac:dyDescent="0.3">
      <c r="A20" s="30"/>
      <c r="B20" s="28"/>
      <c r="C20" s="33" t="s">
        <v>4</v>
      </c>
      <c r="D20" s="30" t="s">
        <v>119</v>
      </c>
      <c r="E20" s="31"/>
      <c r="F20" s="31">
        <v>8000</v>
      </c>
    </row>
    <row r="21" spans="1:6" x14ac:dyDescent="0.3">
      <c r="A21" s="30">
        <v>10</v>
      </c>
      <c r="B21" s="29">
        <v>46284</v>
      </c>
      <c r="C21" s="33" t="s">
        <v>11</v>
      </c>
      <c r="D21" s="30" t="s">
        <v>119</v>
      </c>
      <c r="E21" s="31">
        <v>10000</v>
      </c>
      <c r="F21" s="31"/>
    </row>
    <row r="22" spans="1:6" x14ac:dyDescent="0.3">
      <c r="A22" s="30"/>
      <c r="B22" s="28"/>
      <c r="C22" s="33" t="s">
        <v>138</v>
      </c>
      <c r="D22" s="30" t="s">
        <v>119</v>
      </c>
      <c r="E22" s="31"/>
      <c r="F22" s="31">
        <v>10000</v>
      </c>
    </row>
    <row r="23" spans="1:6" x14ac:dyDescent="0.3">
      <c r="A23" s="30">
        <v>11</v>
      </c>
      <c r="B23" s="29">
        <v>46286</v>
      </c>
      <c r="C23" s="33" t="s">
        <v>12</v>
      </c>
      <c r="D23" s="30" t="s">
        <v>119</v>
      </c>
      <c r="E23" s="31">
        <v>7000</v>
      </c>
      <c r="F23" s="31"/>
    </row>
    <row r="24" spans="1:6" x14ac:dyDescent="0.3">
      <c r="A24" s="30"/>
      <c r="B24" s="28"/>
      <c r="C24" s="33" t="s">
        <v>4</v>
      </c>
      <c r="D24" s="30" t="s">
        <v>119</v>
      </c>
      <c r="E24" s="31"/>
      <c r="F24" s="31">
        <v>7000</v>
      </c>
    </row>
    <row r="25" spans="1:6" x14ac:dyDescent="0.3">
      <c r="A25" s="30">
        <v>12</v>
      </c>
      <c r="B25" s="29">
        <v>46287</v>
      </c>
      <c r="C25" s="33" t="s">
        <v>18</v>
      </c>
      <c r="D25" s="30" t="s">
        <v>119</v>
      </c>
      <c r="E25" s="31">
        <v>2000</v>
      </c>
      <c r="F25" s="31"/>
    </row>
    <row r="26" spans="1:6" x14ac:dyDescent="0.3">
      <c r="A26" s="30"/>
      <c r="B26" s="28"/>
      <c r="C26" s="33" t="s">
        <v>139</v>
      </c>
      <c r="D26" s="30" t="s">
        <v>119</v>
      </c>
      <c r="E26" s="31"/>
      <c r="F26" s="31">
        <v>2000</v>
      </c>
    </row>
    <row r="27" spans="1:6" x14ac:dyDescent="0.3">
      <c r="A27" s="30">
        <v>13</v>
      </c>
      <c r="B27" s="29">
        <v>46289</v>
      </c>
      <c r="C27" s="33" t="s">
        <v>6</v>
      </c>
      <c r="D27" s="30" t="s">
        <v>119</v>
      </c>
      <c r="E27" s="31">
        <v>12000</v>
      </c>
      <c r="F27" s="31"/>
    </row>
    <row r="28" spans="1:6" x14ac:dyDescent="0.3">
      <c r="A28" s="30"/>
      <c r="B28" s="28"/>
      <c r="C28" s="33" t="s">
        <v>140</v>
      </c>
      <c r="D28" s="30" t="s">
        <v>119</v>
      </c>
      <c r="E28" s="31"/>
      <c r="F28" s="31">
        <v>12000</v>
      </c>
    </row>
    <row r="29" spans="1:6" x14ac:dyDescent="0.3">
      <c r="A29" s="30">
        <v>14</v>
      </c>
      <c r="B29" s="29">
        <v>46290</v>
      </c>
      <c r="C29" s="33" t="s">
        <v>13</v>
      </c>
      <c r="D29" s="30" t="s">
        <v>119</v>
      </c>
      <c r="E29" s="31">
        <v>18000</v>
      </c>
      <c r="F29" s="31"/>
    </row>
    <row r="30" spans="1:6" x14ac:dyDescent="0.3">
      <c r="A30" s="30"/>
      <c r="B30" s="28"/>
      <c r="C30" s="33" t="s">
        <v>141</v>
      </c>
      <c r="D30" s="30" t="s">
        <v>119</v>
      </c>
      <c r="E30" s="31"/>
      <c r="F30" s="31">
        <v>18000</v>
      </c>
    </row>
    <row r="31" spans="1:6" x14ac:dyDescent="0.3">
      <c r="A31" s="30">
        <v>15</v>
      </c>
      <c r="B31" s="29">
        <v>46291</v>
      </c>
      <c r="C31" s="33" t="s">
        <v>142</v>
      </c>
      <c r="D31" s="30" t="s">
        <v>119</v>
      </c>
      <c r="E31" s="31">
        <v>1500</v>
      </c>
      <c r="F31" s="31"/>
    </row>
    <row r="32" spans="1:6" x14ac:dyDescent="0.3">
      <c r="A32" s="30"/>
      <c r="B32" s="28"/>
      <c r="C32" s="33" t="s">
        <v>139</v>
      </c>
      <c r="D32" s="30" t="s">
        <v>119</v>
      </c>
      <c r="E32" s="31"/>
      <c r="F32" s="31">
        <v>1500</v>
      </c>
    </row>
    <row r="33" spans="1:6" x14ac:dyDescent="0.3">
      <c r="A33" s="30">
        <v>16</v>
      </c>
      <c r="B33" s="29">
        <v>46292</v>
      </c>
      <c r="C33" s="33" t="s">
        <v>11</v>
      </c>
      <c r="D33" s="30" t="s">
        <v>119</v>
      </c>
      <c r="E33" s="31">
        <v>8000</v>
      </c>
      <c r="F33" s="31"/>
    </row>
    <row r="34" spans="1:6" x14ac:dyDescent="0.3">
      <c r="A34" s="30"/>
      <c r="B34" s="28"/>
      <c r="C34" s="33" t="s">
        <v>143</v>
      </c>
      <c r="D34" s="30" t="s">
        <v>119</v>
      </c>
      <c r="E34" s="31"/>
      <c r="F34" s="31">
        <v>8000</v>
      </c>
    </row>
    <row r="35" spans="1:6" x14ac:dyDescent="0.3">
      <c r="A35" s="30">
        <v>17</v>
      </c>
      <c r="B35" s="29">
        <v>46293</v>
      </c>
      <c r="C35" s="33" t="s">
        <v>14</v>
      </c>
      <c r="D35" s="30" t="s">
        <v>119</v>
      </c>
      <c r="E35" s="31">
        <v>1000</v>
      </c>
      <c r="F35" s="31"/>
    </row>
    <row r="36" spans="1:6" x14ac:dyDescent="0.3">
      <c r="A36" s="30"/>
      <c r="B36" s="28"/>
      <c r="C36" s="33" t="s">
        <v>139</v>
      </c>
      <c r="D36" s="30" t="s">
        <v>119</v>
      </c>
      <c r="E36" s="31"/>
      <c r="F36" s="31">
        <v>1000</v>
      </c>
    </row>
    <row r="37" spans="1:6" x14ac:dyDescent="0.3">
      <c r="A37" s="30">
        <v>18</v>
      </c>
      <c r="B37" s="29">
        <v>46294</v>
      </c>
      <c r="C37" s="33" t="s">
        <v>15</v>
      </c>
      <c r="D37" s="30" t="s">
        <v>119</v>
      </c>
      <c r="E37" s="31">
        <v>4000</v>
      </c>
      <c r="F37" s="31"/>
    </row>
    <row r="38" spans="1:6" x14ac:dyDescent="0.3">
      <c r="A38" s="30"/>
      <c r="B38" s="28"/>
      <c r="C38" s="33" t="s">
        <v>139</v>
      </c>
      <c r="D38" s="30" t="s">
        <v>119</v>
      </c>
      <c r="E38" s="31"/>
      <c r="F38" s="31">
        <v>4000</v>
      </c>
    </row>
    <row r="39" spans="1:6" x14ac:dyDescent="0.3">
      <c r="A39" s="30">
        <v>19</v>
      </c>
      <c r="B39" s="29">
        <v>46295</v>
      </c>
      <c r="C39" s="33" t="s">
        <v>144</v>
      </c>
      <c r="D39" s="30" t="s">
        <v>119</v>
      </c>
      <c r="E39" s="31">
        <v>2500</v>
      </c>
      <c r="F39" s="31"/>
    </row>
    <row r="40" spans="1:6" x14ac:dyDescent="0.3">
      <c r="A40" s="30"/>
      <c r="B40" s="28"/>
      <c r="C40" s="33" t="s">
        <v>139</v>
      </c>
      <c r="D40" s="30" t="s">
        <v>119</v>
      </c>
      <c r="E40" s="31"/>
      <c r="F40" s="31">
        <v>2500</v>
      </c>
    </row>
    <row r="41" spans="1:6" x14ac:dyDescent="0.3">
      <c r="A41" s="66" t="s">
        <v>19</v>
      </c>
      <c r="B41" s="66"/>
      <c r="C41" s="66"/>
      <c r="D41" s="68"/>
      <c r="E41" s="67">
        <f>SUM(E3:E40)</f>
        <v>309000</v>
      </c>
      <c r="F41" s="67">
        <f>SUM(F3:F40)</f>
        <v>309000</v>
      </c>
    </row>
    <row r="42" spans="1:6" x14ac:dyDescent="0.3">
      <c r="A42" s="66"/>
      <c r="B42" s="66"/>
      <c r="C42" s="66"/>
      <c r="D42" s="68"/>
      <c r="E42" s="67"/>
      <c r="F42" s="67"/>
    </row>
  </sheetData>
  <mergeCells count="6">
    <mergeCell ref="A2:B2"/>
    <mergeCell ref="A1:F1"/>
    <mergeCell ref="A41:C42"/>
    <mergeCell ref="E41:E42"/>
    <mergeCell ref="D41:D42"/>
    <mergeCell ref="F41:F4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C10" sqref="C10"/>
    </sheetView>
  </sheetViews>
  <sheetFormatPr defaultRowHeight="14.4" x14ac:dyDescent="0.3"/>
  <cols>
    <col min="1" max="1" width="4.6640625" customWidth="1"/>
    <col min="2" max="2" width="7.21875" customWidth="1"/>
    <col min="3" max="3" width="46.6640625" style="5" customWidth="1"/>
    <col min="4" max="4" width="5.109375" style="1" customWidth="1"/>
    <col min="5" max="5" width="15.88671875" customWidth="1"/>
    <col min="6" max="6" width="16.77734375" customWidth="1"/>
    <col min="7" max="7" width="8.88671875" customWidth="1"/>
  </cols>
  <sheetData>
    <row r="1" spans="1:6" ht="32.4" customHeight="1" x14ac:dyDescent="0.3">
      <c r="A1" s="69" t="s">
        <v>43</v>
      </c>
      <c r="B1" s="69"/>
      <c r="C1" s="69"/>
      <c r="D1" s="69"/>
      <c r="E1" s="69"/>
      <c r="F1" s="69"/>
    </row>
    <row r="2" spans="1:6" ht="24" customHeight="1" x14ac:dyDescent="0.3">
      <c r="A2" s="64" t="s">
        <v>0</v>
      </c>
      <c r="B2" s="64"/>
      <c r="C2" s="17" t="s">
        <v>42</v>
      </c>
      <c r="D2" s="17" t="s">
        <v>2</v>
      </c>
      <c r="E2" s="17" t="s">
        <v>20</v>
      </c>
      <c r="F2" s="17" t="s">
        <v>21</v>
      </c>
    </row>
    <row r="3" spans="1:6" ht="24.6" customHeight="1" x14ac:dyDescent="0.3">
      <c r="A3" s="31">
        <v>1</v>
      </c>
      <c r="B3" s="32">
        <v>46295</v>
      </c>
      <c r="C3" s="42" t="s">
        <v>44</v>
      </c>
      <c r="D3" s="30" t="s">
        <v>119</v>
      </c>
      <c r="E3" s="44">
        <v>83.33</v>
      </c>
      <c r="F3" s="44"/>
    </row>
    <row r="4" spans="1:6" ht="27" customHeight="1" x14ac:dyDescent="0.3">
      <c r="A4" s="31"/>
      <c r="B4" s="31"/>
      <c r="C4" s="43" t="s">
        <v>45</v>
      </c>
      <c r="D4" s="30" t="s">
        <v>119</v>
      </c>
      <c r="E4" s="44"/>
      <c r="F4" s="44">
        <v>83.33</v>
      </c>
    </row>
    <row r="5" spans="1:6" ht="24" customHeight="1" x14ac:dyDescent="0.3">
      <c r="A5" s="31">
        <v>2</v>
      </c>
      <c r="B5" s="32">
        <v>46295</v>
      </c>
      <c r="C5" s="43" t="s">
        <v>10</v>
      </c>
      <c r="D5" s="30" t="s">
        <v>119</v>
      </c>
      <c r="E5" s="44">
        <v>2000</v>
      </c>
      <c r="F5" s="44"/>
    </row>
    <row r="6" spans="1:6" ht="24.6" customHeight="1" x14ac:dyDescent="0.3">
      <c r="A6" s="31"/>
      <c r="B6" s="31"/>
      <c r="C6" s="43" t="s">
        <v>46</v>
      </c>
      <c r="D6" s="30" t="s">
        <v>119</v>
      </c>
      <c r="E6" s="44"/>
      <c r="F6" s="44">
        <v>2000</v>
      </c>
    </row>
    <row r="7" spans="1:6" ht="24.6" customHeight="1" x14ac:dyDescent="0.3">
      <c r="A7" s="31">
        <v>3</v>
      </c>
      <c r="B7" s="32">
        <v>46295</v>
      </c>
      <c r="C7" s="43" t="s">
        <v>47</v>
      </c>
      <c r="D7" s="30" t="s">
        <v>119</v>
      </c>
      <c r="E7" s="44">
        <v>1000</v>
      </c>
      <c r="F7" s="44"/>
    </row>
    <row r="8" spans="1:6" ht="24.6" customHeight="1" x14ac:dyDescent="0.3">
      <c r="A8" s="31"/>
      <c r="B8" s="31"/>
      <c r="C8" s="43" t="s">
        <v>145</v>
      </c>
      <c r="D8" s="30" t="s">
        <v>119</v>
      </c>
      <c r="E8" s="44"/>
      <c r="F8" s="44">
        <v>1000</v>
      </c>
    </row>
    <row r="9" spans="1:6" ht="25.8" customHeight="1" x14ac:dyDescent="0.3">
      <c r="A9" s="31">
        <v>4</v>
      </c>
      <c r="B9" s="32">
        <v>46295</v>
      </c>
      <c r="C9" s="43" t="s">
        <v>48</v>
      </c>
      <c r="D9" s="30" t="s">
        <v>119</v>
      </c>
      <c r="E9" s="44">
        <v>15000</v>
      </c>
      <c r="F9" s="44"/>
    </row>
    <row r="10" spans="1:6" ht="27.6" customHeight="1" x14ac:dyDescent="0.3">
      <c r="A10" s="31"/>
      <c r="B10" s="31"/>
      <c r="C10" s="43" t="s">
        <v>146</v>
      </c>
      <c r="D10" s="30" t="s">
        <v>119</v>
      </c>
      <c r="E10" s="44"/>
      <c r="F10" s="44">
        <v>15000</v>
      </c>
    </row>
    <row r="11" spans="1:6" x14ac:dyDescent="0.3">
      <c r="A11" s="66" t="s">
        <v>19</v>
      </c>
      <c r="B11" s="66"/>
      <c r="C11" s="66"/>
      <c r="D11" s="68"/>
      <c r="E11" s="67">
        <f>SUM(E3:E9)</f>
        <v>18083.330000000002</v>
      </c>
      <c r="F11" s="67">
        <f>SUM(F4:F10)</f>
        <v>18083.330000000002</v>
      </c>
    </row>
    <row r="12" spans="1:6" x14ac:dyDescent="0.3">
      <c r="A12" s="66"/>
      <c r="B12" s="66"/>
      <c r="C12" s="66"/>
      <c r="D12" s="68"/>
      <c r="E12" s="67"/>
      <c r="F12" s="67"/>
    </row>
  </sheetData>
  <mergeCells count="6">
    <mergeCell ref="A2:B2"/>
    <mergeCell ref="A1:F1"/>
    <mergeCell ref="A11:C12"/>
    <mergeCell ref="E11:E12"/>
    <mergeCell ref="D11:D12"/>
    <mergeCell ref="F11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showGridLines="0" workbookViewId="0">
      <selection activeCell="B15" sqref="B15"/>
    </sheetView>
  </sheetViews>
  <sheetFormatPr defaultRowHeight="14.4" x14ac:dyDescent="0.3"/>
  <cols>
    <col min="1" max="1" width="9.88671875" style="1" customWidth="1"/>
    <col min="2" max="2" width="20.5546875" customWidth="1"/>
    <col min="5" max="5" width="4.6640625" customWidth="1"/>
    <col min="7" max="7" width="26.5546875" bestFit="1" customWidth="1"/>
    <col min="10" max="10" width="4.77734375" customWidth="1"/>
    <col min="11" max="11" width="8.88671875" style="1"/>
    <col min="12" max="12" width="27" bestFit="1" customWidth="1"/>
    <col min="15" max="15" width="5" customWidth="1"/>
    <col min="17" max="17" width="10.88671875" bestFit="1" customWidth="1"/>
  </cols>
  <sheetData>
    <row r="1" spans="1:19" ht="32.4" customHeight="1" x14ac:dyDescent="0.3">
      <c r="A1" s="76" t="s">
        <v>64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</row>
    <row r="2" spans="1:19" s="55" customFormat="1" ht="13.8" customHeight="1" x14ac:dyDescent="0.3"/>
    <row r="3" spans="1:19" ht="24.6" customHeight="1" x14ac:dyDescent="0.3">
      <c r="A3" s="70" t="s">
        <v>24</v>
      </c>
      <c r="B3" s="70"/>
      <c r="C3" s="70"/>
      <c r="D3" s="70"/>
      <c r="F3" s="70" t="s">
        <v>51</v>
      </c>
      <c r="G3" s="70"/>
      <c r="H3" s="70"/>
      <c r="I3" s="70"/>
      <c r="K3" s="70" t="s">
        <v>27</v>
      </c>
      <c r="L3" s="70"/>
      <c r="M3" s="70"/>
      <c r="N3" s="70"/>
      <c r="P3" s="70" t="s">
        <v>29</v>
      </c>
      <c r="Q3" s="70"/>
      <c r="R3" s="70"/>
      <c r="S3" s="70"/>
    </row>
    <row r="4" spans="1:19" ht="22.8" customHeight="1" x14ac:dyDescent="0.3">
      <c r="A4" s="6" t="s">
        <v>0</v>
      </c>
      <c r="B4" s="6" t="s">
        <v>1</v>
      </c>
      <c r="C4" s="6" t="s">
        <v>22</v>
      </c>
      <c r="D4" s="6" t="s">
        <v>23</v>
      </c>
      <c r="F4" s="6" t="s">
        <v>0</v>
      </c>
      <c r="G4" s="6" t="s">
        <v>1</v>
      </c>
      <c r="H4" s="6" t="s">
        <v>49</v>
      </c>
      <c r="I4" s="6" t="s">
        <v>50</v>
      </c>
      <c r="K4" s="6" t="s">
        <v>0</v>
      </c>
      <c r="L4" s="6" t="s">
        <v>1</v>
      </c>
      <c r="M4" s="6" t="s">
        <v>49</v>
      </c>
      <c r="N4" s="6" t="s">
        <v>50</v>
      </c>
      <c r="P4" s="6" t="s">
        <v>0</v>
      </c>
      <c r="Q4" s="6" t="s">
        <v>1</v>
      </c>
      <c r="R4" s="6" t="s">
        <v>49</v>
      </c>
      <c r="S4" s="6" t="s">
        <v>50</v>
      </c>
    </row>
    <row r="5" spans="1:19" x14ac:dyDescent="0.3">
      <c r="A5" s="8">
        <v>46266</v>
      </c>
      <c r="B5" s="7" t="s">
        <v>25</v>
      </c>
      <c r="C5" s="7">
        <v>100000</v>
      </c>
      <c r="D5" s="7"/>
      <c r="F5" s="8">
        <v>46267</v>
      </c>
      <c r="G5" s="7" t="s">
        <v>24</v>
      </c>
      <c r="H5" s="7">
        <v>40000</v>
      </c>
      <c r="I5" s="7"/>
      <c r="K5" s="8">
        <v>46268</v>
      </c>
      <c r="L5" s="7" t="s">
        <v>24</v>
      </c>
      <c r="M5" s="7">
        <v>20000</v>
      </c>
      <c r="N5" s="7"/>
      <c r="P5" s="8">
        <v>46275</v>
      </c>
      <c r="Q5" s="7" t="s">
        <v>24</v>
      </c>
      <c r="R5" s="7"/>
      <c r="S5" s="7">
        <v>25000</v>
      </c>
    </row>
    <row r="6" spans="1:19" x14ac:dyDescent="0.3">
      <c r="A6" s="8">
        <v>46267</v>
      </c>
      <c r="B6" s="7" t="s">
        <v>26</v>
      </c>
      <c r="C6" s="7"/>
      <c r="D6" s="7">
        <v>40000</v>
      </c>
      <c r="F6" s="7"/>
      <c r="G6" s="7"/>
      <c r="H6" s="9"/>
      <c r="I6" s="9"/>
      <c r="K6" s="8">
        <v>46270</v>
      </c>
      <c r="L6" s="7" t="s">
        <v>54</v>
      </c>
      <c r="M6" s="7">
        <v>15000</v>
      </c>
      <c r="N6" s="7"/>
      <c r="P6" s="8">
        <v>46277</v>
      </c>
      <c r="Q6" s="7" t="s">
        <v>56</v>
      </c>
      <c r="R6" s="7"/>
      <c r="S6" s="7">
        <v>20000</v>
      </c>
    </row>
    <row r="7" spans="1:19" ht="14.4" customHeight="1" x14ac:dyDescent="0.3">
      <c r="A7" s="8">
        <v>46268</v>
      </c>
      <c r="B7" s="7" t="s">
        <v>27</v>
      </c>
      <c r="C7" s="7"/>
      <c r="D7" s="7">
        <v>20000</v>
      </c>
      <c r="F7" s="67" t="s">
        <v>41</v>
      </c>
      <c r="G7" s="71"/>
      <c r="H7" s="72" t="str">
        <f>TEXT(ABS(SUM(H4:H6)-SUM(I4:I6)),"₹#,##0")&amp;IF(SUM(H4:H6)&gt;=SUM(I4:I6)," (Dr)"," (Cr)")</f>
        <v>₹40,000 (Dr)</v>
      </c>
      <c r="I7" s="73"/>
      <c r="K7" s="8">
        <v>46289</v>
      </c>
      <c r="L7" s="7" t="s">
        <v>55</v>
      </c>
      <c r="M7" s="7">
        <v>12000</v>
      </c>
      <c r="N7" s="7"/>
      <c r="P7" s="8">
        <v>46290</v>
      </c>
      <c r="Q7" s="7" t="s">
        <v>57</v>
      </c>
      <c r="R7" s="7"/>
      <c r="S7" s="7">
        <v>18000</v>
      </c>
    </row>
    <row r="8" spans="1:19" ht="14.4" customHeight="1" x14ac:dyDescent="0.3">
      <c r="A8" s="8">
        <v>46272</v>
      </c>
      <c r="B8" s="7" t="s">
        <v>28</v>
      </c>
      <c r="C8" s="7"/>
      <c r="D8" s="7">
        <v>10000</v>
      </c>
      <c r="F8" s="67"/>
      <c r="G8" s="71"/>
      <c r="H8" s="74"/>
      <c r="I8" s="75"/>
      <c r="K8" s="67" t="s">
        <v>41</v>
      </c>
      <c r="L8" s="67"/>
      <c r="M8" s="67" t="str">
        <f>TEXT(ABS(SUM(M5:M7)-SUM(N5:N7)),"₹#,##0")&amp;IF(SUM(M5:M7)&gt;=SUM(N5:N7)," (Dr)"," (Cr)")</f>
        <v>₹47,000 (Dr)</v>
      </c>
      <c r="N8" s="67"/>
      <c r="P8" s="67" t="s">
        <v>41</v>
      </c>
      <c r="Q8" s="67"/>
      <c r="R8" s="67" t="str">
        <f>TEXT(ABS(SUM(R5:R7)-SUM(S5:S7)),"₹#,##0")&amp;IF(SUM(R5:R7)&gt;=SUM(S5:S7)," (Dr)"," (Cr)")</f>
        <v>₹63,000 (Cr)</v>
      </c>
      <c r="S8" s="67"/>
    </row>
    <row r="9" spans="1:19" ht="14.4" customHeight="1" x14ac:dyDescent="0.3">
      <c r="A9" s="8">
        <v>46275</v>
      </c>
      <c r="B9" s="7" t="s">
        <v>29</v>
      </c>
      <c r="C9" s="7">
        <v>25000</v>
      </c>
      <c r="D9" s="7"/>
      <c r="K9" s="67"/>
      <c r="L9" s="67"/>
      <c r="M9" s="67"/>
      <c r="N9" s="67"/>
      <c r="P9" s="67"/>
      <c r="Q9" s="67"/>
      <c r="R9" s="67"/>
      <c r="S9" s="67"/>
    </row>
    <row r="10" spans="1:19" ht="21" x14ac:dyDescent="0.3">
      <c r="A10" s="8">
        <v>46280</v>
      </c>
      <c r="B10" s="7" t="s">
        <v>30</v>
      </c>
      <c r="C10" s="7"/>
      <c r="D10" s="7">
        <v>5000</v>
      </c>
      <c r="F10" s="70" t="s">
        <v>25</v>
      </c>
      <c r="G10" s="70"/>
      <c r="H10" s="70"/>
      <c r="I10" s="70"/>
    </row>
    <row r="11" spans="1:19" ht="21" x14ac:dyDescent="0.3">
      <c r="A11" s="8">
        <v>46282</v>
      </c>
      <c r="B11" s="7" t="s">
        <v>33</v>
      </c>
      <c r="C11" s="7"/>
      <c r="D11" s="7">
        <v>8000</v>
      </c>
      <c r="F11" s="6" t="s">
        <v>0</v>
      </c>
      <c r="G11" s="6" t="s">
        <v>1</v>
      </c>
      <c r="H11" s="6" t="s">
        <v>49</v>
      </c>
      <c r="I11" s="6" t="s">
        <v>50</v>
      </c>
      <c r="K11" s="70" t="s">
        <v>31</v>
      </c>
      <c r="L11" s="70"/>
      <c r="M11" s="70"/>
      <c r="N11" s="70"/>
      <c r="P11" s="70" t="s">
        <v>39</v>
      </c>
      <c r="Q11" s="70"/>
      <c r="R11" s="70"/>
      <c r="S11" s="70"/>
    </row>
    <row r="12" spans="1:19" ht="15.6" x14ac:dyDescent="0.3">
      <c r="A12" s="8">
        <v>46284</v>
      </c>
      <c r="B12" s="7" t="s">
        <v>32</v>
      </c>
      <c r="C12" s="7">
        <v>10000</v>
      </c>
      <c r="D12" s="7"/>
      <c r="F12" s="8">
        <v>46266</v>
      </c>
      <c r="G12" s="7" t="s">
        <v>24</v>
      </c>
      <c r="H12" s="7"/>
      <c r="I12" s="7">
        <v>100000</v>
      </c>
      <c r="K12" s="6" t="s">
        <v>0</v>
      </c>
      <c r="L12" s="6" t="s">
        <v>1</v>
      </c>
      <c r="M12" s="6" t="s">
        <v>49</v>
      </c>
      <c r="N12" s="6" t="s">
        <v>50</v>
      </c>
      <c r="P12" s="6" t="s">
        <v>0</v>
      </c>
      <c r="Q12" s="6" t="s">
        <v>1</v>
      </c>
      <c r="R12" s="6" t="s">
        <v>49</v>
      </c>
      <c r="S12" s="6" t="s">
        <v>50</v>
      </c>
    </row>
    <row r="13" spans="1:19" x14ac:dyDescent="0.3">
      <c r="A13" s="8">
        <v>46286</v>
      </c>
      <c r="B13" s="7" t="s">
        <v>34</v>
      </c>
      <c r="C13" s="7"/>
      <c r="D13" s="7">
        <v>7000</v>
      </c>
      <c r="F13" s="7"/>
      <c r="G13" s="7"/>
      <c r="H13" s="9"/>
      <c r="I13" s="9"/>
      <c r="K13" s="8">
        <v>46282</v>
      </c>
      <c r="L13" s="7" t="s">
        <v>24</v>
      </c>
      <c r="M13" s="7">
        <v>8000</v>
      </c>
      <c r="N13" s="7"/>
      <c r="P13" s="8">
        <v>46294</v>
      </c>
      <c r="Q13" s="7" t="s">
        <v>24</v>
      </c>
      <c r="R13" s="7">
        <v>4000</v>
      </c>
      <c r="S13" s="7"/>
    </row>
    <row r="14" spans="1:19" ht="14.4" customHeight="1" x14ac:dyDescent="0.3">
      <c r="A14" s="8">
        <v>46287</v>
      </c>
      <c r="B14" s="7" t="s">
        <v>36</v>
      </c>
      <c r="C14" s="7"/>
      <c r="D14" s="7">
        <v>2000</v>
      </c>
      <c r="F14" s="67" t="s">
        <v>41</v>
      </c>
      <c r="G14" s="71"/>
      <c r="H14" s="72" t="str">
        <f>TEXT(ABS(SUM(H11:H13)-SUM(I11:I13)),"₹#,##0")&amp;IF(SUM(H11:H13)&gt;=SUM(I11:I13)," (Dr)"," (Cr)")</f>
        <v>₹1,00,000 (Cr)</v>
      </c>
      <c r="I14" s="73"/>
      <c r="K14" s="11"/>
      <c r="L14" s="16"/>
      <c r="M14" s="13"/>
      <c r="N14" s="12"/>
      <c r="P14" s="7"/>
      <c r="Q14" s="7"/>
      <c r="R14" s="9"/>
      <c r="S14" s="9"/>
    </row>
    <row r="15" spans="1:19" ht="14.4" customHeight="1" x14ac:dyDescent="0.3">
      <c r="A15" s="8">
        <v>46291</v>
      </c>
      <c r="B15" s="7" t="s">
        <v>147</v>
      </c>
      <c r="C15" s="7"/>
      <c r="D15" s="7">
        <v>1500</v>
      </c>
      <c r="F15" s="67"/>
      <c r="G15" s="71"/>
      <c r="H15" s="74"/>
      <c r="I15" s="75"/>
      <c r="K15" s="14"/>
      <c r="L15" s="15"/>
      <c r="M15" s="15"/>
      <c r="N15" s="15"/>
      <c r="P15" s="67" t="s">
        <v>41</v>
      </c>
      <c r="Q15" s="71"/>
      <c r="R15" s="72" t="str">
        <f>TEXT(ABS(SUM(R12:R14)-SUM(S12:S14)),"₹#,##0")&amp;IF(SUM(R12:R14)&gt;=SUM(S12:S14)," (Dr)"," (Cr)")</f>
        <v>₹4,000 (Dr)</v>
      </c>
      <c r="S15" s="73"/>
    </row>
    <row r="16" spans="1:19" x14ac:dyDescent="0.3">
      <c r="A16" s="8">
        <v>46292</v>
      </c>
      <c r="B16" s="7" t="s">
        <v>37</v>
      </c>
      <c r="C16" s="7">
        <v>8000</v>
      </c>
      <c r="D16" s="7"/>
      <c r="K16" s="67" t="s">
        <v>41</v>
      </c>
      <c r="L16" s="67"/>
      <c r="M16" s="67" t="str">
        <f>TEXT(ABS(SUM(M13:M15)-SUM(N13:N15)),"₹#,##0")&amp;IF(SUM(M13:M15)&gt;=SUM(N13:N15)," (Dr)"," (Cr)")</f>
        <v>₹8,000 (Dr)</v>
      </c>
      <c r="N16" s="67"/>
      <c r="P16" s="67"/>
      <c r="Q16" s="71"/>
      <c r="R16" s="74"/>
      <c r="S16" s="75"/>
    </row>
    <row r="17" spans="1:19" ht="21" x14ac:dyDescent="0.3">
      <c r="A17" s="8">
        <v>46293</v>
      </c>
      <c r="B17" s="7" t="s">
        <v>38</v>
      </c>
      <c r="C17" s="7"/>
      <c r="D17" s="7">
        <v>1000</v>
      </c>
      <c r="F17" s="70" t="s">
        <v>52</v>
      </c>
      <c r="G17" s="70"/>
      <c r="H17" s="70"/>
      <c r="I17" s="70"/>
      <c r="K17" s="67"/>
      <c r="L17" s="67"/>
      <c r="M17" s="67"/>
      <c r="N17" s="67"/>
    </row>
    <row r="18" spans="1:19" ht="21" x14ac:dyDescent="0.3">
      <c r="A18" s="8">
        <v>46294</v>
      </c>
      <c r="B18" s="7" t="s">
        <v>39</v>
      </c>
      <c r="C18" s="7"/>
      <c r="D18" s="7">
        <v>4000</v>
      </c>
      <c r="F18" s="6" t="s">
        <v>0</v>
      </c>
      <c r="G18" s="6" t="s">
        <v>1</v>
      </c>
      <c r="H18" s="6" t="s">
        <v>49</v>
      </c>
      <c r="I18" s="6" t="s">
        <v>50</v>
      </c>
      <c r="P18" s="70" t="s">
        <v>36</v>
      </c>
      <c r="Q18" s="70"/>
      <c r="R18" s="70"/>
      <c r="S18" s="70"/>
    </row>
    <row r="19" spans="1:19" ht="21" x14ac:dyDescent="0.3">
      <c r="A19" s="8">
        <v>46295</v>
      </c>
      <c r="B19" s="7" t="s">
        <v>40</v>
      </c>
      <c r="C19" s="9"/>
      <c r="D19" s="9">
        <v>2500</v>
      </c>
      <c r="F19" s="8">
        <v>46280</v>
      </c>
      <c r="G19" s="7" t="s">
        <v>24</v>
      </c>
      <c r="H19" s="7">
        <v>5000</v>
      </c>
      <c r="I19" s="7"/>
      <c r="K19" s="70" t="s">
        <v>28</v>
      </c>
      <c r="L19" s="70"/>
      <c r="M19" s="70"/>
      <c r="N19" s="70"/>
      <c r="P19" s="6" t="s">
        <v>0</v>
      </c>
      <c r="Q19" s="6" t="s">
        <v>1</v>
      </c>
      <c r="R19" s="6" t="s">
        <v>49</v>
      </c>
      <c r="S19" s="6" t="s">
        <v>50</v>
      </c>
    </row>
    <row r="20" spans="1:19" ht="14.4" customHeight="1" x14ac:dyDescent="0.3">
      <c r="A20" s="67" t="s">
        <v>41</v>
      </c>
      <c r="B20" s="71"/>
      <c r="C20" s="72" t="str">
        <f>TEXT(ABS(SUM(C5:C19)-SUM(D5:D19)),"₹#,##0")&amp;IF(SUM(C5:C19)&gt;=SUM(D5:D19)," (Dr)"," (Cr)")</f>
        <v>₹42,000 (Dr)</v>
      </c>
      <c r="D20" s="73"/>
      <c r="F20" s="8"/>
      <c r="G20" s="7"/>
      <c r="H20" s="9"/>
      <c r="I20" s="9"/>
      <c r="K20" s="6" t="s">
        <v>0</v>
      </c>
      <c r="L20" s="6" t="s">
        <v>1</v>
      </c>
      <c r="M20" s="6" t="s">
        <v>49</v>
      </c>
      <c r="N20" s="6" t="s">
        <v>50</v>
      </c>
      <c r="P20" s="8">
        <v>46287</v>
      </c>
      <c r="Q20" s="7" t="s">
        <v>24</v>
      </c>
      <c r="R20" s="7">
        <v>2000</v>
      </c>
      <c r="S20" s="7"/>
    </row>
    <row r="21" spans="1:19" ht="14.4" customHeight="1" x14ac:dyDescent="0.3">
      <c r="A21" s="67"/>
      <c r="B21" s="71"/>
      <c r="C21" s="74"/>
      <c r="D21" s="75"/>
      <c r="F21" s="67" t="s">
        <v>41</v>
      </c>
      <c r="G21" s="71"/>
      <c r="H21" s="72" t="str">
        <f>TEXT(ABS(SUM(H18:H20)-SUM(I18:I20)),"₹#,##0")&amp;IF(SUM(H18:H20)&gt;=SUM(I18:I20)," (Dr)"," (Cr)")</f>
        <v>₹5,000 (Dr)</v>
      </c>
      <c r="I21" s="73"/>
      <c r="K21" s="8">
        <v>46272</v>
      </c>
      <c r="L21" s="7" t="s">
        <v>24</v>
      </c>
      <c r="M21" s="7">
        <v>10000</v>
      </c>
      <c r="N21" s="7"/>
      <c r="P21" s="7"/>
      <c r="Q21" s="7"/>
      <c r="R21" s="9"/>
      <c r="S21" s="9"/>
    </row>
    <row r="22" spans="1:19" ht="14.4" customHeight="1" x14ac:dyDescent="0.3">
      <c r="F22" s="67"/>
      <c r="G22" s="71"/>
      <c r="H22" s="74"/>
      <c r="I22" s="75"/>
      <c r="K22" s="8"/>
      <c r="L22" s="7"/>
      <c r="M22" s="7"/>
      <c r="N22" s="7"/>
      <c r="P22" s="67" t="s">
        <v>41</v>
      </c>
      <c r="Q22" s="71"/>
      <c r="R22" s="72" t="str">
        <f>TEXT(ABS(SUM(R19:R21)-SUM(S19:S21)),"₹#,##0")&amp;IF(SUM(R19:R21)&gt;=SUM(S19:S21)," (Dr)"," (Cr)")</f>
        <v>₹2,000 (Dr)</v>
      </c>
      <c r="S22" s="73"/>
    </row>
    <row r="23" spans="1:19" ht="21" x14ac:dyDescent="0.3">
      <c r="A23" s="70" t="s">
        <v>59</v>
      </c>
      <c r="B23" s="70"/>
      <c r="C23" s="70"/>
      <c r="D23" s="70"/>
      <c r="K23" s="8"/>
      <c r="L23" s="7"/>
      <c r="M23" s="7"/>
      <c r="N23" s="7"/>
      <c r="P23" s="67"/>
      <c r="Q23" s="71"/>
      <c r="R23" s="74"/>
      <c r="S23" s="75"/>
    </row>
    <row r="24" spans="1:19" ht="21" x14ac:dyDescent="0.3">
      <c r="A24" s="6" t="s">
        <v>0</v>
      </c>
      <c r="B24" s="6" t="s">
        <v>1</v>
      </c>
      <c r="C24" s="6" t="s">
        <v>49</v>
      </c>
      <c r="D24" s="6" t="s">
        <v>50</v>
      </c>
      <c r="F24" s="70" t="s">
        <v>60</v>
      </c>
      <c r="G24" s="70"/>
      <c r="H24" s="70"/>
      <c r="I24" s="70"/>
      <c r="K24" s="67" t="s">
        <v>41</v>
      </c>
      <c r="L24" s="67"/>
      <c r="M24" s="67" t="str">
        <f>TEXT(ABS(SUM(M21:M23)-SUM(N21:N23)),"₹#,##0")&amp;IF(SUM(M21:M23)&gt;=SUM(N21:N23)," (Dr)"," (Cr)")</f>
        <v>₹10,000 (Dr)</v>
      </c>
      <c r="N24" s="67"/>
    </row>
    <row r="25" spans="1:19" ht="21" x14ac:dyDescent="0.3">
      <c r="A25" s="8">
        <v>46270</v>
      </c>
      <c r="B25" s="7" t="s">
        <v>27</v>
      </c>
      <c r="C25" s="7"/>
      <c r="D25" s="7">
        <v>15000</v>
      </c>
      <c r="F25" s="6" t="s">
        <v>0</v>
      </c>
      <c r="G25" s="6" t="s">
        <v>1</v>
      </c>
      <c r="H25" s="6" t="s">
        <v>49</v>
      </c>
      <c r="I25" s="6" t="s">
        <v>50</v>
      </c>
      <c r="K25" s="67"/>
      <c r="L25" s="67"/>
      <c r="M25" s="67"/>
      <c r="N25" s="67"/>
      <c r="P25" s="70" t="s">
        <v>147</v>
      </c>
      <c r="Q25" s="70"/>
      <c r="R25" s="70"/>
      <c r="S25" s="70"/>
    </row>
    <row r="26" spans="1:19" ht="15.6" x14ac:dyDescent="0.3">
      <c r="A26" s="8">
        <v>46286</v>
      </c>
      <c r="B26" s="7" t="s">
        <v>24</v>
      </c>
      <c r="C26" s="9">
        <v>7000</v>
      </c>
      <c r="D26" s="9"/>
      <c r="F26" s="8">
        <v>46277</v>
      </c>
      <c r="G26" s="7" t="s">
        <v>29</v>
      </c>
      <c r="H26" s="7">
        <v>20000</v>
      </c>
      <c r="I26" s="7"/>
      <c r="P26" s="6" t="s">
        <v>0</v>
      </c>
      <c r="Q26" s="6" t="s">
        <v>1</v>
      </c>
      <c r="R26" s="6" t="s">
        <v>49</v>
      </c>
      <c r="S26" s="6" t="s">
        <v>50</v>
      </c>
    </row>
    <row r="27" spans="1:19" ht="21" x14ac:dyDescent="0.3">
      <c r="A27" s="67" t="s">
        <v>41</v>
      </c>
      <c r="B27" s="71"/>
      <c r="C27" s="72" t="str">
        <f>TEXT(ABS(SUM(C24:C26)-SUM(D24:D26)),"₹#,##0")&amp;IF(SUM(C24:C26)&gt;=SUM(D24:D26)," (Dr)"," (Cr)")</f>
        <v>₹8,000 (Cr)</v>
      </c>
      <c r="D27" s="73"/>
      <c r="F27" s="8">
        <v>46284</v>
      </c>
      <c r="G27" s="7" t="s">
        <v>24</v>
      </c>
      <c r="H27" s="9"/>
      <c r="I27" s="9">
        <v>10000</v>
      </c>
      <c r="K27" s="70" t="s">
        <v>38</v>
      </c>
      <c r="L27" s="70"/>
      <c r="M27" s="70"/>
      <c r="N27" s="70"/>
      <c r="P27" s="8">
        <v>46291</v>
      </c>
      <c r="Q27" s="7" t="s">
        <v>24</v>
      </c>
      <c r="R27" s="7">
        <v>1500</v>
      </c>
      <c r="S27" s="7"/>
    </row>
    <row r="28" spans="1:19" ht="15.6" x14ac:dyDescent="0.3">
      <c r="A28" s="67"/>
      <c r="B28" s="71"/>
      <c r="C28" s="74"/>
      <c r="D28" s="75"/>
      <c r="F28" s="67" t="s">
        <v>41</v>
      </c>
      <c r="G28" s="71"/>
      <c r="H28" s="72" t="str">
        <f>TEXT(ABS(SUM(H25:H27)-SUM(I25:I27)),"₹#,##0")&amp;IF(SUM(H25:H27)&gt;=SUM(I25:I27)," (Dr)"," (Cr)")</f>
        <v>₹10,000 (Dr)</v>
      </c>
      <c r="I28" s="73"/>
      <c r="K28" s="6" t="s">
        <v>0</v>
      </c>
      <c r="L28" s="6" t="s">
        <v>1</v>
      </c>
      <c r="M28" s="6" t="s">
        <v>49</v>
      </c>
      <c r="N28" s="6" t="s">
        <v>50</v>
      </c>
      <c r="P28" s="7"/>
      <c r="Q28" s="7"/>
      <c r="R28" s="9"/>
      <c r="S28" s="9"/>
    </row>
    <row r="29" spans="1:19" x14ac:dyDescent="0.3">
      <c r="F29" s="67"/>
      <c r="G29" s="71"/>
      <c r="H29" s="74"/>
      <c r="I29" s="75"/>
      <c r="K29" s="8">
        <v>46293</v>
      </c>
      <c r="L29" s="7" t="s">
        <v>24</v>
      </c>
      <c r="M29" s="7">
        <v>1000</v>
      </c>
      <c r="N29" s="7"/>
      <c r="P29" s="67" t="s">
        <v>41</v>
      </c>
      <c r="Q29" s="71"/>
      <c r="R29" s="72" t="str">
        <f>TEXT(ABS(SUM(R26:R28)-SUM(S26:S28)),"₹#,##0")&amp;IF(SUM(R26:R28)&gt;=SUM(S26:S28)," (Dr)"," (Cr)")</f>
        <v>₹1,500 (Dr)</v>
      </c>
      <c r="S29" s="73"/>
    </row>
    <row r="30" spans="1:19" ht="21" x14ac:dyDescent="0.3">
      <c r="A30" s="70" t="s">
        <v>61</v>
      </c>
      <c r="B30" s="70"/>
      <c r="C30" s="70"/>
      <c r="D30" s="70"/>
      <c r="K30" s="7"/>
      <c r="L30" s="7"/>
      <c r="M30" s="9"/>
      <c r="N30" s="9"/>
      <c r="P30" s="67"/>
      <c r="Q30" s="71"/>
      <c r="R30" s="74"/>
      <c r="S30" s="75"/>
    </row>
    <row r="31" spans="1:19" ht="21" x14ac:dyDescent="0.3">
      <c r="A31" s="6" t="s">
        <v>0</v>
      </c>
      <c r="B31" s="6" t="s">
        <v>1</v>
      </c>
      <c r="C31" s="6" t="s">
        <v>49</v>
      </c>
      <c r="D31" s="6" t="s">
        <v>50</v>
      </c>
      <c r="F31" s="70" t="s">
        <v>62</v>
      </c>
      <c r="G31" s="70"/>
      <c r="H31" s="70"/>
      <c r="I31" s="70"/>
      <c r="K31" s="67" t="s">
        <v>41</v>
      </c>
      <c r="L31" s="71"/>
      <c r="M31" s="72" t="str">
        <f>TEXT(ABS(SUM(M28:M30)-SUM(N28:N30)),"₹#,##0")&amp;IF(SUM(M28:M30)&gt;=SUM(N28:N30)," (Dr)"," (Cr)")</f>
        <v>₹1,000 (Dr)</v>
      </c>
      <c r="N31" s="73"/>
    </row>
    <row r="32" spans="1:19" ht="21" x14ac:dyDescent="0.3">
      <c r="A32" s="8">
        <v>46289</v>
      </c>
      <c r="B32" s="7" t="s">
        <v>27</v>
      </c>
      <c r="C32" s="7"/>
      <c r="D32" s="7">
        <v>12000</v>
      </c>
      <c r="F32" s="6" t="s">
        <v>0</v>
      </c>
      <c r="G32" s="6" t="s">
        <v>1</v>
      </c>
      <c r="H32" s="6" t="s">
        <v>49</v>
      </c>
      <c r="I32" s="6" t="s">
        <v>50</v>
      </c>
      <c r="K32" s="67"/>
      <c r="L32" s="71"/>
      <c r="M32" s="74"/>
      <c r="N32" s="75"/>
      <c r="P32" s="70" t="s">
        <v>63</v>
      </c>
      <c r="Q32" s="70"/>
      <c r="R32" s="70"/>
      <c r="S32" s="70"/>
    </row>
    <row r="33" spans="1:19" ht="15.6" x14ac:dyDescent="0.3">
      <c r="A33" s="8"/>
      <c r="B33" s="7"/>
      <c r="C33" s="9"/>
      <c r="D33" s="9"/>
      <c r="F33" s="8">
        <v>46290</v>
      </c>
      <c r="G33" s="7" t="s">
        <v>29</v>
      </c>
      <c r="H33" s="7">
        <v>18000</v>
      </c>
      <c r="I33" s="7"/>
      <c r="P33" s="6" t="s">
        <v>0</v>
      </c>
      <c r="Q33" s="6" t="s">
        <v>1</v>
      </c>
      <c r="R33" s="6" t="s">
        <v>49</v>
      </c>
      <c r="S33" s="6" t="s">
        <v>50</v>
      </c>
    </row>
    <row r="34" spans="1:19" ht="21" x14ac:dyDescent="0.3">
      <c r="A34" s="67" t="s">
        <v>41</v>
      </c>
      <c r="B34" s="71"/>
      <c r="C34" s="72" t="str">
        <f>TEXT(ABS(SUM(C31:C33)-SUM(D31:D33)),"₹#,##0")&amp;IF(SUM(C31:C33)&gt;=SUM(D31:D33)," (Dr)"," (Cr)")</f>
        <v>₹12,000 (Cr)</v>
      </c>
      <c r="D34" s="73"/>
      <c r="F34" s="8">
        <v>46292</v>
      </c>
      <c r="G34" s="7" t="s">
        <v>24</v>
      </c>
      <c r="H34" s="9"/>
      <c r="I34" s="9">
        <v>8000</v>
      </c>
      <c r="K34" s="70" t="s">
        <v>53</v>
      </c>
      <c r="L34" s="70"/>
      <c r="M34" s="70"/>
      <c r="N34" s="70"/>
      <c r="P34" s="8">
        <v>46295</v>
      </c>
      <c r="Q34" s="7" t="s">
        <v>24</v>
      </c>
      <c r="R34" s="7">
        <v>2500</v>
      </c>
      <c r="S34" s="7"/>
    </row>
    <row r="35" spans="1:19" ht="15.6" x14ac:dyDescent="0.3">
      <c r="A35" s="67"/>
      <c r="B35" s="71"/>
      <c r="C35" s="74"/>
      <c r="D35" s="75"/>
      <c r="F35" s="67" t="s">
        <v>41</v>
      </c>
      <c r="G35" s="71"/>
      <c r="H35" s="72" t="str">
        <f>TEXT(ABS(SUM(H32:H34)-SUM(I32:I34)),"₹#,##0")&amp;IF(SUM(H32:H34)&gt;=SUM(I32:I34)," (Dr)"," (Cr)")</f>
        <v>₹10,000 (Dr)</v>
      </c>
      <c r="I35" s="73"/>
      <c r="K35" s="6" t="s">
        <v>0</v>
      </c>
      <c r="L35" s="6" t="s">
        <v>1</v>
      </c>
      <c r="M35" s="6" t="s">
        <v>49</v>
      </c>
      <c r="N35" s="6" t="s">
        <v>50</v>
      </c>
      <c r="P35" s="7"/>
      <c r="Q35" s="7"/>
      <c r="R35" s="9"/>
      <c r="S35" s="9"/>
    </row>
    <row r="36" spans="1:19" x14ac:dyDescent="0.3">
      <c r="F36" s="67"/>
      <c r="G36" s="71"/>
      <c r="H36" s="74"/>
      <c r="I36" s="75"/>
      <c r="K36" s="8">
        <v>46295</v>
      </c>
      <c r="L36" s="7" t="s">
        <v>30</v>
      </c>
      <c r="M36" s="7">
        <v>1000</v>
      </c>
      <c r="N36" s="7"/>
      <c r="P36" s="67" t="s">
        <v>41</v>
      </c>
      <c r="Q36" s="71"/>
      <c r="R36" s="72" t="str">
        <f>TEXT(ABS(SUM(R33:R35)-SUM(S33:S35)),"₹#,##0")&amp;IF(SUM(R33:R35)&gt;=SUM(S33:S35)," (Dr)"," (Cr)")</f>
        <v>₹2,500 (Dr)</v>
      </c>
      <c r="S36" s="73"/>
    </row>
    <row r="37" spans="1:19" ht="21" x14ac:dyDescent="0.3">
      <c r="A37" s="70" t="s">
        <v>65</v>
      </c>
      <c r="B37" s="70"/>
      <c r="C37" s="70"/>
      <c r="D37" s="70"/>
      <c r="K37" s="8"/>
      <c r="L37" s="7"/>
      <c r="M37" s="9"/>
      <c r="N37" s="9"/>
      <c r="P37" s="67"/>
      <c r="Q37" s="71"/>
      <c r="R37" s="74"/>
      <c r="S37" s="75"/>
    </row>
    <row r="38" spans="1:19" ht="21" x14ac:dyDescent="0.3">
      <c r="A38" s="6" t="s">
        <v>0</v>
      </c>
      <c r="B38" s="6" t="s">
        <v>1</v>
      </c>
      <c r="C38" s="6" t="s">
        <v>49</v>
      </c>
      <c r="D38" s="6" t="s">
        <v>50</v>
      </c>
      <c r="F38" s="70" t="s">
        <v>66</v>
      </c>
      <c r="G38" s="70"/>
      <c r="H38" s="70"/>
      <c r="I38" s="70"/>
      <c r="K38" s="67" t="s">
        <v>41</v>
      </c>
      <c r="L38" s="71"/>
      <c r="M38" s="72" t="str">
        <f>TEXT(ABS(SUM(M35:M37)-SUM(N35:N37)),"₹#,##0")&amp;IF(SUM(M35:M37)&gt;=SUM(N35:N37)," (Dr)"," (Cr)")</f>
        <v>₹1,000 (Dr)</v>
      </c>
      <c r="N38" s="73"/>
    </row>
    <row r="39" spans="1:19" ht="21" x14ac:dyDescent="0.3">
      <c r="A39" s="8">
        <v>46295</v>
      </c>
      <c r="B39" s="7" t="s">
        <v>31</v>
      </c>
      <c r="C39" s="7"/>
      <c r="D39" s="7">
        <v>2000</v>
      </c>
      <c r="F39" s="6" t="s">
        <v>0</v>
      </c>
      <c r="G39" s="6" t="s">
        <v>1</v>
      </c>
      <c r="H39" s="6" t="s">
        <v>49</v>
      </c>
      <c r="I39" s="6" t="s">
        <v>50</v>
      </c>
      <c r="K39" s="67"/>
      <c r="L39" s="71"/>
      <c r="M39" s="74"/>
      <c r="N39" s="75"/>
      <c r="P39" s="70" t="s">
        <v>70</v>
      </c>
      <c r="Q39" s="70"/>
      <c r="R39" s="70"/>
      <c r="S39" s="70"/>
    </row>
    <row r="40" spans="1:19" ht="15.6" x14ac:dyDescent="0.3">
      <c r="A40" s="8"/>
      <c r="B40" s="7"/>
      <c r="C40" s="9"/>
      <c r="D40" s="9"/>
      <c r="F40" s="8">
        <v>46295</v>
      </c>
      <c r="G40" s="7" t="s">
        <v>67</v>
      </c>
      <c r="H40" s="7">
        <v>83.33</v>
      </c>
      <c r="I40" s="7"/>
      <c r="P40" s="6" t="s">
        <v>0</v>
      </c>
      <c r="Q40" s="6" t="s">
        <v>1</v>
      </c>
      <c r="R40" s="6" t="s">
        <v>49</v>
      </c>
      <c r="S40" s="6" t="s">
        <v>50</v>
      </c>
    </row>
    <row r="41" spans="1:19" ht="21" x14ac:dyDescent="0.3">
      <c r="A41" s="67" t="s">
        <v>41</v>
      </c>
      <c r="B41" s="71"/>
      <c r="C41" s="72" t="str">
        <f>TEXT(ABS(SUM(C38:C40)-SUM(D38:D40)),"₹#,##0")&amp;IF(SUM(C38:C40)&gt;=SUM(D38:D40)," (Dr)"," (Cr)")</f>
        <v>₹2,000 (Cr)</v>
      </c>
      <c r="D41" s="73"/>
      <c r="F41" s="8"/>
      <c r="G41" s="7"/>
      <c r="H41" s="9"/>
      <c r="I41" s="9"/>
      <c r="K41" s="70" t="s">
        <v>68</v>
      </c>
      <c r="L41" s="70"/>
      <c r="M41" s="70"/>
      <c r="N41" s="70"/>
      <c r="P41" s="8">
        <v>46295</v>
      </c>
      <c r="Q41" s="7" t="s">
        <v>71</v>
      </c>
      <c r="R41" s="7">
        <v>15000</v>
      </c>
      <c r="S41" s="7"/>
    </row>
    <row r="42" spans="1:19" ht="14.4" customHeight="1" x14ac:dyDescent="0.3">
      <c r="A42" s="67"/>
      <c r="B42" s="71"/>
      <c r="C42" s="74"/>
      <c r="D42" s="75"/>
      <c r="F42" s="67" t="s">
        <v>41</v>
      </c>
      <c r="G42" s="71"/>
      <c r="H42" s="72" t="str">
        <f>TEXT(ABS(SUM(H39:H41)-SUM(I39:I41)),"₹#,##0")&amp;IF(SUM(H39:H41)&gt;=SUM(I39:I41)," (Dr)"," (Cr)")</f>
        <v>₹83 (Dr)</v>
      </c>
      <c r="I42" s="73"/>
      <c r="K42" s="6" t="s">
        <v>0</v>
      </c>
      <c r="L42" s="6" t="s">
        <v>1</v>
      </c>
      <c r="M42" s="6" t="s">
        <v>49</v>
      </c>
      <c r="N42" s="6" t="s">
        <v>50</v>
      </c>
      <c r="P42" s="7"/>
      <c r="Q42" s="7"/>
      <c r="R42" s="9"/>
      <c r="S42" s="9"/>
    </row>
    <row r="43" spans="1:19" ht="14.4" customHeight="1" x14ac:dyDescent="0.3">
      <c r="F43" s="67"/>
      <c r="G43" s="71"/>
      <c r="H43" s="74"/>
      <c r="I43" s="75"/>
      <c r="K43" s="8">
        <v>46295</v>
      </c>
      <c r="L43" s="7" t="s">
        <v>69</v>
      </c>
      <c r="M43" s="7"/>
      <c r="N43" s="7">
        <v>83.33</v>
      </c>
      <c r="P43" s="67" t="s">
        <v>41</v>
      </c>
      <c r="Q43" s="71"/>
      <c r="R43" s="72" t="str">
        <f>TEXT(ABS(SUM(R40:R42)-SUM(S40:S42)),"₹#,##0")&amp;IF(SUM(R40:R42)&gt;=SUM(S40:S42)," (Dr)"," (Cr)")</f>
        <v>₹15,000 (Dr)</v>
      </c>
      <c r="S43" s="73"/>
    </row>
    <row r="44" spans="1:19" x14ac:dyDescent="0.3">
      <c r="K44" s="8"/>
      <c r="L44" s="7"/>
      <c r="M44" s="9"/>
      <c r="N44" s="9"/>
      <c r="P44" s="67"/>
      <c r="Q44" s="71"/>
      <c r="R44" s="74"/>
      <c r="S44" s="75"/>
    </row>
    <row r="45" spans="1:19" x14ac:dyDescent="0.3">
      <c r="K45" s="67" t="s">
        <v>41</v>
      </c>
      <c r="L45" s="71"/>
      <c r="M45" s="72" t="str">
        <f>TEXT(ABS(SUM(M42:M44)-SUM(N42:N44)),"₹#,##0")&amp;IF(SUM(M42:M44)&gt;=SUM(N42:N44)," (Dr)"," (Cr)")</f>
        <v>₹83 (Cr)</v>
      </c>
      <c r="N45" s="73"/>
    </row>
    <row r="46" spans="1:19" x14ac:dyDescent="0.3">
      <c r="K46" s="67"/>
      <c r="L46" s="71"/>
      <c r="M46" s="74"/>
      <c r="N46" s="75"/>
    </row>
  </sheetData>
  <mergeCells count="68">
    <mergeCell ref="K45:L46"/>
    <mergeCell ref="M45:N46"/>
    <mergeCell ref="A2:XFD2"/>
    <mergeCell ref="P39:S39"/>
    <mergeCell ref="P43:Q44"/>
    <mergeCell ref="R43:S44"/>
    <mergeCell ref="A41:B42"/>
    <mergeCell ref="C41:D42"/>
    <mergeCell ref="F38:I38"/>
    <mergeCell ref="F42:G43"/>
    <mergeCell ref="H42:I43"/>
    <mergeCell ref="K41:N41"/>
    <mergeCell ref="P36:Q37"/>
    <mergeCell ref="R36:S37"/>
    <mergeCell ref="H35:I36"/>
    <mergeCell ref="A23:D23"/>
    <mergeCell ref="A1:S1"/>
    <mergeCell ref="K34:N34"/>
    <mergeCell ref="K38:L39"/>
    <mergeCell ref="M38:N39"/>
    <mergeCell ref="A37:D37"/>
    <mergeCell ref="P29:Q30"/>
    <mergeCell ref="R29:S30"/>
    <mergeCell ref="K27:N27"/>
    <mergeCell ref="K31:L32"/>
    <mergeCell ref="M31:N32"/>
    <mergeCell ref="P32:S32"/>
    <mergeCell ref="A30:D30"/>
    <mergeCell ref="A34:B35"/>
    <mergeCell ref="C34:D35"/>
    <mergeCell ref="F31:I31"/>
    <mergeCell ref="F35:G36"/>
    <mergeCell ref="A27:B28"/>
    <mergeCell ref="C27:D28"/>
    <mergeCell ref="F24:I24"/>
    <mergeCell ref="F28:G29"/>
    <mergeCell ref="H28:I29"/>
    <mergeCell ref="K19:N19"/>
    <mergeCell ref="K24:L25"/>
    <mergeCell ref="M24:N25"/>
    <mergeCell ref="P11:S11"/>
    <mergeCell ref="P15:Q16"/>
    <mergeCell ref="R15:S16"/>
    <mergeCell ref="P18:S18"/>
    <mergeCell ref="P22:Q23"/>
    <mergeCell ref="R22:S23"/>
    <mergeCell ref="P25:S25"/>
    <mergeCell ref="P3:S3"/>
    <mergeCell ref="P8:Q9"/>
    <mergeCell ref="R8:S9"/>
    <mergeCell ref="K11:N11"/>
    <mergeCell ref="K16:L17"/>
    <mergeCell ref="M16:N17"/>
    <mergeCell ref="K3:N3"/>
    <mergeCell ref="K8:L9"/>
    <mergeCell ref="M8:N9"/>
    <mergeCell ref="A3:D3"/>
    <mergeCell ref="A20:B21"/>
    <mergeCell ref="C20:D21"/>
    <mergeCell ref="F3:I3"/>
    <mergeCell ref="F7:G8"/>
    <mergeCell ref="H7:I8"/>
    <mergeCell ref="F10:I10"/>
    <mergeCell ref="F14:G15"/>
    <mergeCell ref="H14:I15"/>
    <mergeCell ref="F17:I17"/>
    <mergeCell ref="F21:G22"/>
    <mergeCell ref="H21:I2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opLeftCell="A2" workbookViewId="0">
      <selection activeCell="G9" sqref="G9"/>
    </sheetView>
  </sheetViews>
  <sheetFormatPr defaultRowHeight="14.4" x14ac:dyDescent="0.3"/>
  <cols>
    <col min="1" max="1" width="8.88671875" style="1"/>
    <col min="2" max="2" width="29" customWidth="1"/>
    <col min="3" max="3" width="5" style="47" customWidth="1"/>
    <col min="4" max="4" width="16.109375" bestFit="1" customWidth="1"/>
    <col min="5" max="5" width="17.5546875" bestFit="1" customWidth="1"/>
  </cols>
  <sheetData>
    <row r="1" spans="1:5" ht="31.8" customHeight="1" x14ac:dyDescent="0.3">
      <c r="A1" s="69" t="s">
        <v>74</v>
      </c>
      <c r="B1" s="69"/>
      <c r="C1" s="69"/>
      <c r="D1" s="69"/>
      <c r="E1" s="69"/>
    </row>
    <row r="2" spans="1:5" ht="27" customHeight="1" x14ac:dyDescent="0.3">
      <c r="A2" s="17" t="s">
        <v>72</v>
      </c>
      <c r="B2" s="17" t="s">
        <v>73</v>
      </c>
      <c r="C2" s="48" t="s">
        <v>2</v>
      </c>
      <c r="D2" s="17" t="s">
        <v>20</v>
      </c>
      <c r="E2" s="17" t="s">
        <v>21</v>
      </c>
    </row>
    <row r="3" spans="1:5" x14ac:dyDescent="0.3">
      <c r="A3" s="10">
        <v>1</v>
      </c>
      <c r="B3" s="7" t="s">
        <v>76</v>
      </c>
      <c r="C3" s="10" t="s">
        <v>119</v>
      </c>
      <c r="D3" s="18">
        <v>42000</v>
      </c>
      <c r="E3" s="84" t="s">
        <v>119</v>
      </c>
    </row>
    <row r="4" spans="1:5" x14ac:dyDescent="0.3">
      <c r="A4" s="10">
        <v>2</v>
      </c>
      <c r="B4" s="7" t="s">
        <v>77</v>
      </c>
      <c r="C4" s="10" t="s">
        <v>119</v>
      </c>
      <c r="D4" s="18">
        <v>40000</v>
      </c>
      <c r="E4" s="84" t="s">
        <v>119</v>
      </c>
    </row>
    <row r="5" spans="1:5" x14ac:dyDescent="0.3">
      <c r="A5" s="10">
        <v>3</v>
      </c>
      <c r="B5" s="7" t="s">
        <v>75</v>
      </c>
      <c r="C5" s="10" t="s">
        <v>119</v>
      </c>
      <c r="D5" s="18">
        <v>47000</v>
      </c>
      <c r="E5" s="84" t="s">
        <v>119</v>
      </c>
    </row>
    <row r="6" spans="1:5" x14ac:dyDescent="0.3">
      <c r="A6" s="10">
        <v>4</v>
      </c>
      <c r="B6" s="7" t="s">
        <v>78</v>
      </c>
      <c r="C6" s="10" t="s">
        <v>119</v>
      </c>
      <c r="D6" s="18">
        <v>10000</v>
      </c>
      <c r="E6" s="84" t="s">
        <v>119</v>
      </c>
    </row>
    <row r="7" spans="1:5" x14ac:dyDescent="0.3">
      <c r="A7" s="10">
        <v>5</v>
      </c>
      <c r="B7" s="7" t="s">
        <v>79</v>
      </c>
      <c r="C7" s="10" t="s">
        <v>119</v>
      </c>
      <c r="D7" s="18">
        <v>4000</v>
      </c>
      <c r="E7" s="84" t="s">
        <v>119</v>
      </c>
    </row>
    <row r="8" spans="1:5" x14ac:dyDescent="0.3">
      <c r="A8" s="10">
        <v>6</v>
      </c>
      <c r="B8" s="7" t="s">
        <v>80</v>
      </c>
      <c r="C8" s="10" t="s">
        <v>119</v>
      </c>
      <c r="D8" s="18">
        <v>10000</v>
      </c>
      <c r="E8" s="84" t="s">
        <v>119</v>
      </c>
    </row>
    <row r="9" spans="1:5" x14ac:dyDescent="0.3">
      <c r="A9" s="10">
        <v>7</v>
      </c>
      <c r="B9" s="7" t="s">
        <v>35</v>
      </c>
      <c r="C9" s="10" t="s">
        <v>119</v>
      </c>
      <c r="D9" s="18">
        <v>2000</v>
      </c>
      <c r="E9" s="84" t="s">
        <v>119</v>
      </c>
    </row>
    <row r="10" spans="1:5" x14ac:dyDescent="0.3">
      <c r="A10" s="10">
        <v>8</v>
      </c>
      <c r="B10" s="7" t="s">
        <v>148</v>
      </c>
      <c r="C10" s="10" t="s">
        <v>119</v>
      </c>
      <c r="D10" s="18">
        <v>1500</v>
      </c>
      <c r="E10" s="84" t="s">
        <v>119</v>
      </c>
    </row>
    <row r="11" spans="1:5" x14ac:dyDescent="0.3">
      <c r="A11" s="10">
        <v>9</v>
      </c>
      <c r="B11" s="7" t="s">
        <v>81</v>
      </c>
      <c r="C11" s="10" t="s">
        <v>119</v>
      </c>
      <c r="D11" s="18">
        <v>1000</v>
      </c>
      <c r="E11" s="84" t="s">
        <v>119</v>
      </c>
    </row>
    <row r="12" spans="1:5" x14ac:dyDescent="0.3">
      <c r="A12" s="10">
        <v>10</v>
      </c>
      <c r="B12" s="7" t="s">
        <v>82</v>
      </c>
      <c r="C12" s="10" t="s">
        <v>119</v>
      </c>
      <c r="D12" s="18">
        <v>2500</v>
      </c>
      <c r="E12" s="84" t="s">
        <v>119</v>
      </c>
    </row>
    <row r="13" spans="1:5" x14ac:dyDescent="0.3">
      <c r="A13" s="10">
        <v>11</v>
      </c>
      <c r="B13" s="7" t="s">
        <v>83</v>
      </c>
      <c r="C13" s="10" t="s">
        <v>119</v>
      </c>
      <c r="D13" s="19">
        <v>83.33</v>
      </c>
      <c r="E13" s="84" t="s">
        <v>119</v>
      </c>
    </row>
    <row r="14" spans="1:5" x14ac:dyDescent="0.3">
      <c r="A14" s="10">
        <v>12</v>
      </c>
      <c r="B14" s="7" t="s">
        <v>56</v>
      </c>
      <c r="C14" s="10" t="s">
        <v>119</v>
      </c>
      <c r="D14" s="18">
        <v>10000</v>
      </c>
      <c r="E14" s="84" t="s">
        <v>119</v>
      </c>
    </row>
    <row r="15" spans="1:5" x14ac:dyDescent="0.3">
      <c r="A15" s="10">
        <v>13</v>
      </c>
      <c r="B15" s="7" t="s">
        <v>57</v>
      </c>
      <c r="C15" s="10" t="s">
        <v>119</v>
      </c>
      <c r="D15" s="18">
        <v>10000</v>
      </c>
      <c r="E15" s="84" t="s">
        <v>119</v>
      </c>
    </row>
    <row r="16" spans="1:5" x14ac:dyDescent="0.3">
      <c r="A16" s="10">
        <v>14</v>
      </c>
      <c r="B16" s="7" t="s">
        <v>84</v>
      </c>
      <c r="C16" s="10" t="s">
        <v>119</v>
      </c>
      <c r="D16" s="18">
        <v>4000</v>
      </c>
      <c r="E16" s="84" t="s">
        <v>119</v>
      </c>
    </row>
    <row r="17" spans="1:5" x14ac:dyDescent="0.3">
      <c r="A17" s="10">
        <v>15</v>
      </c>
      <c r="B17" s="7" t="s">
        <v>85</v>
      </c>
      <c r="C17" s="10" t="s">
        <v>119</v>
      </c>
      <c r="D17" s="18">
        <v>1000</v>
      </c>
      <c r="E17" s="84" t="s">
        <v>119</v>
      </c>
    </row>
    <row r="18" spans="1:5" x14ac:dyDescent="0.3">
      <c r="A18" s="10">
        <v>16</v>
      </c>
      <c r="B18" s="7" t="s">
        <v>86</v>
      </c>
      <c r="C18" s="10" t="s">
        <v>119</v>
      </c>
      <c r="D18" s="18">
        <v>15000</v>
      </c>
      <c r="E18" s="84" t="s">
        <v>119</v>
      </c>
    </row>
    <row r="19" spans="1:5" x14ac:dyDescent="0.3">
      <c r="A19" s="10">
        <v>17</v>
      </c>
      <c r="B19" s="7" t="s">
        <v>87</v>
      </c>
      <c r="C19" s="10" t="s">
        <v>119</v>
      </c>
      <c r="D19" s="84" t="s">
        <v>119</v>
      </c>
      <c r="E19" s="18">
        <v>100000</v>
      </c>
    </row>
    <row r="20" spans="1:5" x14ac:dyDescent="0.3">
      <c r="A20" s="10">
        <v>18</v>
      </c>
      <c r="B20" s="7" t="s">
        <v>88</v>
      </c>
      <c r="C20" s="10" t="s">
        <v>119</v>
      </c>
      <c r="D20" s="84" t="s">
        <v>119</v>
      </c>
      <c r="E20" s="18">
        <v>63000</v>
      </c>
    </row>
    <row r="21" spans="1:5" x14ac:dyDescent="0.3">
      <c r="A21" s="10">
        <v>19</v>
      </c>
      <c r="B21" s="7" t="s">
        <v>54</v>
      </c>
      <c r="C21" s="10" t="s">
        <v>119</v>
      </c>
      <c r="D21" s="84" t="s">
        <v>119</v>
      </c>
      <c r="E21" s="18">
        <v>8000</v>
      </c>
    </row>
    <row r="22" spans="1:5" x14ac:dyDescent="0.3">
      <c r="A22" s="10">
        <v>20</v>
      </c>
      <c r="B22" s="7" t="s">
        <v>55</v>
      </c>
      <c r="C22" s="10" t="s">
        <v>119</v>
      </c>
      <c r="D22" s="84" t="s">
        <v>119</v>
      </c>
      <c r="E22" s="18">
        <v>12000</v>
      </c>
    </row>
    <row r="23" spans="1:5" x14ac:dyDescent="0.3">
      <c r="A23" s="10">
        <v>21</v>
      </c>
      <c r="B23" s="7" t="s">
        <v>58</v>
      </c>
      <c r="C23" s="10" t="s">
        <v>119</v>
      </c>
      <c r="D23" s="84" t="s">
        <v>119</v>
      </c>
      <c r="E23" s="18">
        <v>2000</v>
      </c>
    </row>
    <row r="24" spans="1:5" x14ac:dyDescent="0.3">
      <c r="A24" s="10">
        <v>22</v>
      </c>
      <c r="B24" s="7" t="s">
        <v>89</v>
      </c>
      <c r="C24" s="10" t="s">
        <v>119</v>
      </c>
      <c r="D24" s="84" t="s">
        <v>119</v>
      </c>
      <c r="E24" s="19">
        <v>83.33</v>
      </c>
    </row>
    <row r="25" spans="1:5" x14ac:dyDescent="0.3">
      <c r="A25" s="10">
        <v>23</v>
      </c>
      <c r="B25" s="7" t="s">
        <v>90</v>
      </c>
      <c r="C25" s="10" t="s">
        <v>119</v>
      </c>
      <c r="D25" s="84" t="s">
        <v>119</v>
      </c>
      <c r="E25" s="18">
        <v>15000</v>
      </c>
    </row>
    <row r="26" spans="1:5" x14ac:dyDescent="0.3">
      <c r="A26" s="66" t="s">
        <v>19</v>
      </c>
      <c r="B26" s="66"/>
      <c r="C26" s="66"/>
      <c r="D26" s="77">
        <f>SUM(D3:D25)</f>
        <v>200083.33</v>
      </c>
      <c r="E26" s="78">
        <f>SUM(E3:E25)</f>
        <v>200083.33</v>
      </c>
    </row>
    <row r="27" spans="1:5" x14ac:dyDescent="0.3">
      <c r="A27" s="66"/>
      <c r="B27" s="66"/>
      <c r="C27" s="66"/>
      <c r="D27" s="77"/>
      <c r="E27" s="78"/>
    </row>
  </sheetData>
  <mergeCells count="5">
    <mergeCell ref="A1:E1"/>
    <mergeCell ref="A26:B27"/>
    <mergeCell ref="D26:D27"/>
    <mergeCell ref="E26:E27"/>
    <mergeCell ref="C26:C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22" sqref="D22"/>
    </sheetView>
  </sheetViews>
  <sheetFormatPr defaultRowHeight="14.4" x14ac:dyDescent="0.3"/>
  <cols>
    <col min="1" max="1" width="25.21875" customWidth="1"/>
    <col min="2" max="2" width="21.5546875" customWidth="1"/>
    <col min="3" max="3" width="19.109375" customWidth="1"/>
    <col min="4" max="4" width="21.33203125" customWidth="1"/>
  </cols>
  <sheetData>
    <row r="1" spans="1:4" ht="30" customHeight="1" x14ac:dyDescent="0.3">
      <c r="A1" s="69" t="s">
        <v>107</v>
      </c>
      <c r="B1" s="69"/>
      <c r="C1" s="69"/>
      <c r="D1" s="69"/>
    </row>
    <row r="2" spans="1:4" ht="19.8" customHeight="1" x14ac:dyDescent="0.3">
      <c r="A2" s="79" t="s">
        <v>106</v>
      </c>
      <c r="B2" s="79"/>
      <c r="C2" s="79"/>
      <c r="D2" s="79"/>
    </row>
    <row r="3" spans="1:4" ht="30" customHeight="1" x14ac:dyDescent="0.3">
      <c r="A3" s="20" t="s">
        <v>96</v>
      </c>
      <c r="B3" s="20" t="s">
        <v>20</v>
      </c>
      <c r="C3" s="20" t="s">
        <v>96</v>
      </c>
      <c r="D3" s="20" t="s">
        <v>21</v>
      </c>
    </row>
    <row r="4" spans="1:4" x14ac:dyDescent="0.3">
      <c r="A4" s="21" t="s">
        <v>91</v>
      </c>
      <c r="B4" s="22">
        <v>47000</v>
      </c>
      <c r="C4" s="21" t="s">
        <v>92</v>
      </c>
      <c r="D4" s="22">
        <v>63000</v>
      </c>
    </row>
    <row r="5" spans="1:4" ht="22.2" customHeight="1" x14ac:dyDescent="0.3">
      <c r="A5" s="21" t="s">
        <v>93</v>
      </c>
      <c r="B5" s="22">
        <v>1000</v>
      </c>
      <c r="C5" s="21" t="s">
        <v>94</v>
      </c>
      <c r="D5" s="22">
        <v>15000</v>
      </c>
    </row>
    <row r="6" spans="1:4" ht="24" customHeight="1" x14ac:dyDescent="0.3">
      <c r="A6" s="21" t="s">
        <v>95</v>
      </c>
      <c r="B6" s="23">
        <v>30000</v>
      </c>
      <c r="C6" s="21"/>
      <c r="D6" s="21"/>
    </row>
    <row r="7" spans="1:4" ht="37.200000000000003" customHeight="1" x14ac:dyDescent="0.3">
      <c r="A7" s="20" t="s">
        <v>19</v>
      </c>
      <c r="B7" s="45">
        <f>SUM(B4:B6)</f>
        <v>78000</v>
      </c>
      <c r="C7" s="20" t="s">
        <v>19</v>
      </c>
      <c r="D7" s="45">
        <f>SUM(D4:D6)</f>
        <v>78000</v>
      </c>
    </row>
  </sheetData>
  <mergeCells count="2">
    <mergeCell ref="A2:D2"/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A15" sqref="A15"/>
    </sheetView>
  </sheetViews>
  <sheetFormatPr defaultRowHeight="14.4" x14ac:dyDescent="0.3"/>
  <cols>
    <col min="1" max="1" width="22.6640625" customWidth="1"/>
    <col min="2" max="2" width="15" customWidth="1"/>
    <col min="3" max="3" width="24.109375" customWidth="1"/>
    <col min="4" max="4" width="16" customWidth="1"/>
  </cols>
  <sheetData>
    <row r="1" spans="1:4" ht="30" customHeight="1" x14ac:dyDescent="0.3">
      <c r="A1" s="65" t="s">
        <v>105</v>
      </c>
      <c r="B1" s="65"/>
      <c r="C1" s="65"/>
      <c r="D1" s="65"/>
    </row>
    <row r="2" spans="1:4" ht="18.600000000000001" customHeight="1" x14ac:dyDescent="0.3">
      <c r="A2" s="79" t="s">
        <v>106</v>
      </c>
      <c r="B2" s="79"/>
      <c r="C2" s="79"/>
      <c r="D2" s="79"/>
    </row>
    <row r="3" spans="1:4" ht="30.6" customHeight="1" x14ac:dyDescent="0.3">
      <c r="A3" s="20" t="s">
        <v>96</v>
      </c>
      <c r="B3" s="20" t="s">
        <v>20</v>
      </c>
      <c r="C3" s="20" t="s">
        <v>96</v>
      </c>
      <c r="D3" s="20" t="s">
        <v>21</v>
      </c>
    </row>
    <row r="4" spans="1:4" ht="28.8" x14ac:dyDescent="0.3">
      <c r="A4" s="21" t="s">
        <v>97</v>
      </c>
      <c r="B4" s="22">
        <v>4000</v>
      </c>
      <c r="C4" s="21" t="s">
        <v>98</v>
      </c>
      <c r="D4" s="22">
        <v>30000</v>
      </c>
    </row>
    <row r="5" spans="1:4" ht="24.6" customHeight="1" x14ac:dyDescent="0.3">
      <c r="A5" s="21" t="s">
        <v>99</v>
      </c>
      <c r="B5" s="22">
        <v>10000</v>
      </c>
      <c r="C5" s="21"/>
      <c r="D5" s="21"/>
    </row>
    <row r="6" spans="1:4" ht="25.2" customHeight="1" x14ac:dyDescent="0.3">
      <c r="A6" s="21" t="s">
        <v>100</v>
      </c>
      <c r="B6" s="22">
        <v>2000</v>
      </c>
      <c r="C6" s="21"/>
      <c r="D6" s="21"/>
    </row>
    <row r="7" spans="1:4" ht="25.2" customHeight="1" x14ac:dyDescent="0.3">
      <c r="A7" s="21" t="s">
        <v>101</v>
      </c>
      <c r="B7" s="22">
        <v>1500</v>
      </c>
      <c r="C7" s="21"/>
      <c r="D7" s="21"/>
    </row>
    <row r="8" spans="1:4" ht="21.6" customHeight="1" x14ac:dyDescent="0.3">
      <c r="A8" s="21" t="s">
        <v>102</v>
      </c>
      <c r="B8" s="22">
        <v>2500</v>
      </c>
      <c r="C8" s="21"/>
      <c r="D8" s="21"/>
    </row>
    <row r="9" spans="1:4" ht="24" customHeight="1" x14ac:dyDescent="0.3">
      <c r="A9" s="21" t="s">
        <v>103</v>
      </c>
      <c r="B9" s="21">
        <v>83.33</v>
      </c>
      <c r="C9" s="21"/>
      <c r="D9" s="21"/>
    </row>
    <row r="10" spans="1:4" ht="25.8" customHeight="1" x14ac:dyDescent="0.3">
      <c r="A10" s="21" t="s">
        <v>104</v>
      </c>
      <c r="B10" s="23">
        <v>9916.67</v>
      </c>
      <c r="C10" s="21"/>
      <c r="D10" s="21"/>
    </row>
    <row r="11" spans="1:4" ht="27.6" customHeight="1" x14ac:dyDescent="0.3">
      <c r="A11" s="20" t="s">
        <v>19</v>
      </c>
      <c r="B11" s="45">
        <f>SUM(B4:B10)</f>
        <v>30000</v>
      </c>
      <c r="C11" s="20" t="s">
        <v>19</v>
      </c>
      <c r="D11" s="45">
        <f>SUM(D4:D10)</f>
        <v>30000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G4" sqref="G4"/>
    </sheetView>
  </sheetViews>
  <sheetFormatPr defaultRowHeight="14.4" x14ac:dyDescent="0.3"/>
  <cols>
    <col min="1" max="1" width="22.88671875" customWidth="1"/>
    <col min="2" max="2" width="17.6640625" customWidth="1"/>
    <col min="3" max="3" width="23.21875" customWidth="1"/>
    <col min="4" max="4" width="13.44140625" customWidth="1"/>
  </cols>
  <sheetData>
    <row r="1" spans="1:4" ht="30.6" customHeight="1" x14ac:dyDescent="0.3">
      <c r="A1" s="80" t="s">
        <v>117</v>
      </c>
      <c r="B1" s="80"/>
      <c r="C1" s="80"/>
      <c r="D1" s="80"/>
    </row>
    <row r="2" spans="1:4" s="46" customFormat="1" ht="18.600000000000001" customHeight="1" x14ac:dyDescent="0.4">
      <c r="A2" s="81" t="s">
        <v>149</v>
      </c>
      <c r="B2" s="82"/>
      <c r="C2" s="82"/>
      <c r="D2" s="83"/>
    </row>
    <row r="3" spans="1:4" ht="25.2" customHeight="1" x14ac:dyDescent="0.3">
      <c r="A3" s="20" t="s">
        <v>108</v>
      </c>
      <c r="B3" s="20" t="s">
        <v>109</v>
      </c>
      <c r="C3" s="20" t="s">
        <v>111</v>
      </c>
      <c r="D3" s="20" t="s">
        <v>109</v>
      </c>
    </row>
    <row r="4" spans="1:4" ht="22.2" customHeight="1" x14ac:dyDescent="0.3">
      <c r="A4" s="21" t="s">
        <v>87</v>
      </c>
      <c r="B4" s="24">
        <v>100000</v>
      </c>
      <c r="C4" s="21" t="s">
        <v>112</v>
      </c>
      <c r="D4" s="24">
        <v>42000</v>
      </c>
    </row>
    <row r="5" spans="1:4" ht="20.399999999999999" customHeight="1" x14ac:dyDescent="0.3">
      <c r="A5" s="21" t="s">
        <v>110</v>
      </c>
      <c r="B5" s="22">
        <v>9916.67</v>
      </c>
      <c r="C5" s="21" t="s">
        <v>113</v>
      </c>
      <c r="D5" s="24">
        <v>40000</v>
      </c>
    </row>
    <row r="6" spans="1:4" ht="19.2" customHeight="1" x14ac:dyDescent="0.3">
      <c r="A6" s="21" t="s">
        <v>118</v>
      </c>
      <c r="B6" s="25">
        <v>-4000</v>
      </c>
      <c r="C6" s="21" t="s">
        <v>56</v>
      </c>
      <c r="D6" s="24">
        <v>10000</v>
      </c>
    </row>
    <row r="7" spans="1:4" ht="20.399999999999999" customHeight="1" x14ac:dyDescent="0.3">
      <c r="A7" s="26"/>
      <c r="B7" s="23"/>
      <c r="C7" s="21" t="s">
        <v>57</v>
      </c>
      <c r="D7" s="24">
        <v>10000</v>
      </c>
    </row>
    <row r="8" spans="1:4" ht="21" customHeight="1" x14ac:dyDescent="0.3">
      <c r="A8" s="21" t="s">
        <v>54</v>
      </c>
      <c r="B8" s="24">
        <v>8000</v>
      </c>
      <c r="C8" s="21" t="s">
        <v>78</v>
      </c>
      <c r="D8" s="24">
        <v>10000</v>
      </c>
    </row>
    <row r="9" spans="1:4" ht="36" customHeight="1" x14ac:dyDescent="0.3">
      <c r="A9" s="21" t="s">
        <v>55</v>
      </c>
      <c r="B9" s="24">
        <v>12000</v>
      </c>
      <c r="C9" s="21" t="s">
        <v>114</v>
      </c>
      <c r="D9" s="27">
        <v>-83.33</v>
      </c>
    </row>
    <row r="10" spans="1:4" ht="28.8" x14ac:dyDescent="0.3">
      <c r="A10" s="21" t="s">
        <v>58</v>
      </c>
      <c r="B10" s="24">
        <v>2000</v>
      </c>
      <c r="C10" s="21" t="s">
        <v>86</v>
      </c>
      <c r="D10" s="24">
        <v>15000</v>
      </c>
    </row>
    <row r="11" spans="1:4" ht="22.8" customHeight="1" x14ac:dyDescent="0.3">
      <c r="A11" s="21"/>
      <c r="B11" s="22"/>
      <c r="C11" s="21" t="s">
        <v>85</v>
      </c>
      <c r="D11" s="24">
        <v>1000</v>
      </c>
    </row>
    <row r="12" spans="1:4" ht="32.4" customHeight="1" x14ac:dyDescent="0.3">
      <c r="A12" s="20" t="s">
        <v>115</v>
      </c>
      <c r="B12" s="35">
        <f>SUM(B4:B11)</f>
        <v>127916.67</v>
      </c>
      <c r="C12" s="20" t="s">
        <v>116</v>
      </c>
      <c r="D12" s="35">
        <f>SUM(D4:D11)</f>
        <v>127916.67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Journal</vt:lpstr>
      <vt:lpstr>Adjustments</vt:lpstr>
      <vt:lpstr>Ledger</vt:lpstr>
      <vt:lpstr>Trial Balance</vt:lpstr>
      <vt:lpstr>Trading Account</vt:lpstr>
      <vt:lpstr>Profit And Loss Account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 Kashyap</dc:creator>
  <cp:lastModifiedBy>Charu Kashyap</cp:lastModifiedBy>
  <dcterms:created xsi:type="dcterms:W3CDTF">2026-09-27T05:29:27Z</dcterms:created>
  <dcterms:modified xsi:type="dcterms:W3CDTF">2026-09-29T07:20:51Z</dcterms:modified>
</cp:coreProperties>
</file>